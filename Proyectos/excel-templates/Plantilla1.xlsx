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Escritorio\"/>
    </mc:Choice>
  </mc:AlternateContent>
  <xr:revisionPtr revIDLastSave="0" documentId="13_ncr:1_{AB935000-6FA5-40DF-95AB-29A0F415AD56}" xr6:coauthVersionLast="47" xr6:coauthVersionMax="47" xr10:uidLastSave="{00000000-0000-0000-0000-000000000000}"/>
  <bookViews>
    <workbookView xWindow="-108" yWindow="-108" windowWidth="23256" windowHeight="13176" xr2:uid="{30F6354D-8A91-4CFF-BC24-554980AF38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4" i="2" l="1"/>
  <c r="R3" i="2" a="1"/>
  <c r="R3" i="2" s="1"/>
  <c r="S3" i="2" s="1" a="1"/>
  <c r="S3" i="2" s="1"/>
  <c r="O16" i="2"/>
  <c r="O17" i="2" s="1"/>
  <c r="J16" i="2"/>
  <c r="J1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<sst xmlns="http://schemas.openxmlformats.org/spreadsheetml/2006/main" count="33" uniqueCount="13">
  <si>
    <t>Percentage example</t>
  </si>
  <si>
    <t>Q1 2025</t>
  </si>
  <si>
    <t>Q1 2026</t>
  </si>
  <si>
    <t>Q2 2025</t>
  </si>
  <si>
    <t>Q2 2026</t>
  </si>
  <si>
    <t>Q3 2025</t>
  </si>
  <si>
    <t>Q4 2025</t>
  </si>
  <si>
    <t>Q3 2026</t>
  </si>
  <si>
    <t>Q4 2026</t>
  </si>
  <si>
    <t xml:space="preserve">Perdiod </t>
  </si>
  <si>
    <t>Value</t>
  </si>
  <si>
    <t>Value2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</si>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</sst>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A883"/>
      <color rgb="FF9B3F11"/>
      <color rgb="FF0D0D0D"/>
      <color rgb="FFC9C9C9"/>
      <color rgb="FF2365A1"/>
      <color rgb="FFCF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22353455818023"/>
          <c:y val="5.5412136857797334E-2"/>
          <c:w val="0.54044181977252848"/>
          <c:h val="0.89841108242737155"/>
        </c:manualLayout>
      </c:layout>
      <c:doughnutChart>
        <c:varyColors val="1"/>
        <c:ser>
          <c:idx val="0"/>
          <c:order val="0"/>
          <c:tx>
            <c:strRef>
              <c:f>Sheet2!$B$7</c:f>
              <c:strCache>
                <c:ptCount val="1"/>
                <c:pt idx="0">
                  <c:v>Percentage example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  <a:alpha val="40000"/>
                </a:schemeClr>
              </a:solidFill>
              <a:ln w="19050">
                <a:noFill/>
              </a:ln>
              <a:effectLst>
                <a:glow rad="88900">
                  <a:srgbClr val="CFE3F5">
                    <a:alpha val="11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D5A4-4BA3-99B2-3710954965C0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  <a:alpha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A4-4BA3-99B2-3710954965C0}"/>
              </c:ext>
            </c:extLst>
          </c:dPt>
          <c:val>
            <c:numRef>
              <c:f>Sheet2!$B$8:$B$9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A4-4BA3-99B2-37109549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Sheet2!$F$6</c:f>
              <c:strCache>
                <c:ptCount val="1"/>
                <c:pt idx="0">
                  <c:v>Value</c:v>
                </c:pt>
              </c:strCache>
            </c:strRef>
          </c:tx>
          <c:spPr>
            <a:gradFill flip="none" rotWithShape="1">
              <a:gsLst>
                <a:gs pos="100000">
                  <a:srgbClr val="114E69">
                    <a:lumMod val="26000"/>
                    <a:alpha val="0"/>
                  </a:srgbClr>
                </a:gs>
                <a:gs pos="29000">
                  <a:schemeClr val="accent1">
                    <a:lumMod val="40000"/>
                    <a:lumOff val="60000"/>
                  </a:schemeClr>
                </a:gs>
                <a:gs pos="58000">
                  <a:schemeClr val="accent1">
                    <a:lumMod val="95000"/>
                    <a:lumOff val="5000"/>
                  </a:schemeClr>
                </a:gs>
                <a:gs pos="92000">
                  <a:schemeClr val="accent1">
                    <a:lumMod val="60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cat>
            <c:strRef>
              <c:f>Sheet2!$E$7:$E$14</c:f>
              <c:strCache>
                <c:ptCount val="8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  <c:pt idx="5">
                  <c:v>Q2 2026</c:v>
                </c:pt>
                <c:pt idx="6">
                  <c:v>Q3 2026</c:v>
                </c:pt>
                <c:pt idx="7">
                  <c:v>Q4 2026</c:v>
                </c:pt>
              </c:strCache>
            </c:strRef>
          </c:cat>
          <c:val>
            <c:numRef>
              <c:f>Sheet2!$F$7:$F$14</c:f>
              <c:numCache>
                <c:formatCode>General</c:formatCode>
                <c:ptCount val="8"/>
                <c:pt idx="0">
                  <c:v>2772429</c:v>
                </c:pt>
                <c:pt idx="1">
                  <c:v>2589328</c:v>
                </c:pt>
                <c:pt idx="2">
                  <c:v>2891348</c:v>
                </c:pt>
                <c:pt idx="3">
                  <c:v>2690724</c:v>
                </c:pt>
                <c:pt idx="4">
                  <c:v>2500500</c:v>
                </c:pt>
                <c:pt idx="5">
                  <c:v>2683968</c:v>
                </c:pt>
                <c:pt idx="6">
                  <c:v>2851714</c:v>
                </c:pt>
                <c:pt idx="7">
                  <c:v>2958990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B-4ADA-AA74-301AC9721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  <a:alpha val="79000"/>
                </a:schemeClr>
              </a:solidFill>
              <a:prstDash val="sysDot"/>
              <a:round/>
            </a:ln>
            <a:effectLst/>
          </c:spPr>
        </c:dropLines>
        <c:axId val="233231599"/>
        <c:axId val="233228719"/>
      </c:areaChart>
      <c:lineChart>
        <c:grouping val="standard"/>
        <c:varyColors val="0"/>
        <c:ser>
          <c:idx val="1"/>
          <c:order val="1"/>
          <c:tx>
            <c:strRef>
              <c:f>Sheet2!$G$6</c:f>
              <c:strCache>
                <c:ptCount val="1"/>
                <c:pt idx="0">
                  <c:v>Value2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glow rad="889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635">
                <a:solidFill>
                  <a:schemeClr val="tx1">
                    <a:lumMod val="95000"/>
                    <a:lumOff val="5000"/>
                  </a:schemeClr>
                </a:solidFill>
              </a:ln>
              <a:effectLst>
                <a:glow rad="88900">
                  <a:schemeClr val="accent1">
                    <a:satMod val="175000"/>
                    <a:alpha val="40000"/>
                  </a:schemeClr>
                </a:glow>
              </a:effectLst>
            </c:spPr>
          </c:marker>
          <c:cat>
            <c:strRef>
              <c:f>Sheet2!$E$7:$E$14</c:f>
              <c:strCache>
                <c:ptCount val="8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  <c:pt idx="5">
                  <c:v>Q2 2026</c:v>
                </c:pt>
                <c:pt idx="6">
                  <c:v>Q3 2026</c:v>
                </c:pt>
                <c:pt idx="7">
                  <c:v>Q4 2026</c:v>
                </c:pt>
              </c:strCache>
            </c:strRef>
          </c:cat>
          <c:val>
            <c:numRef>
              <c:f>Sheet2!$G$7:$G$14</c:f>
              <c:numCache>
                <c:formatCode>General</c:formatCode>
                <c:ptCount val="8"/>
                <c:pt idx="0">
                  <c:v>2772429</c:v>
                </c:pt>
                <c:pt idx="1">
                  <c:v>2589328</c:v>
                </c:pt>
                <c:pt idx="2">
                  <c:v>2891348</c:v>
                </c:pt>
                <c:pt idx="3">
                  <c:v>2690724</c:v>
                </c:pt>
                <c:pt idx="4">
                  <c:v>2500500</c:v>
                </c:pt>
                <c:pt idx="5">
                  <c:v>2683968</c:v>
                </c:pt>
                <c:pt idx="6">
                  <c:v>2851714</c:v>
                </c:pt>
                <c:pt idx="7">
                  <c:v>2958990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B-4ADA-AA74-301AC9721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31599"/>
        <c:axId val="233228719"/>
      </c:lineChart>
      <c:catAx>
        <c:axId val="2332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3228719"/>
        <c:crosses val="autoZero"/>
        <c:auto val="1"/>
        <c:lblAlgn val="ctr"/>
        <c:lblOffset val="100"/>
        <c:noMultiLvlLbl val="0"/>
      </c:catAx>
      <c:valAx>
        <c:axId val="2332287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323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4.1666666666666664E-2"/>
          <c:w val="0.93888888888888888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Sheet2!$J$6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glow rad="76200">
                <a:schemeClr val="accent1">
                  <a:lumMod val="40000"/>
                  <a:lumOff val="60000"/>
                  <a:alpha val="40000"/>
                </a:schemeClr>
              </a:glow>
            </a:effectLst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D0D0D"/>
                </a:solidFill>
              </a:ln>
              <a:effectLst/>
            </c:spPr>
          </c:marker>
          <c:cat>
            <c:strRef>
              <c:f>Sheet2!$I$7:$I$14</c:f>
              <c:strCache>
                <c:ptCount val="8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  <c:pt idx="5">
                  <c:v>Q2 2026</c:v>
                </c:pt>
                <c:pt idx="6">
                  <c:v>Q3 2026</c:v>
                </c:pt>
                <c:pt idx="7">
                  <c:v>Q4 2026</c:v>
                </c:pt>
              </c:strCache>
            </c:strRef>
          </c:cat>
          <c:val>
            <c:numRef>
              <c:f>Sheet2!$J$7:$J$14</c:f>
              <c:numCache>
                <c:formatCode>General</c:formatCode>
                <c:ptCount val="8"/>
                <c:pt idx="0">
                  <c:v>3005301</c:v>
                </c:pt>
                <c:pt idx="1">
                  <c:v>2968835</c:v>
                </c:pt>
                <c:pt idx="2">
                  <c:v>2904685</c:v>
                </c:pt>
                <c:pt idx="3">
                  <c:v>3088606</c:v>
                </c:pt>
                <c:pt idx="4">
                  <c:v>2588784</c:v>
                </c:pt>
                <c:pt idx="5">
                  <c:v>2633378</c:v>
                </c:pt>
                <c:pt idx="6">
                  <c:v>2960098</c:v>
                </c:pt>
                <c:pt idx="7">
                  <c:v>2830728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5-4A73-A15A-3AD79C961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070479"/>
        <c:axId val="750070959"/>
      </c:lineChart>
      <c:catAx>
        <c:axId val="750070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0070959"/>
        <c:crosses val="autoZero"/>
        <c:auto val="1"/>
        <c:lblAlgn val="ctr"/>
        <c:lblOffset val="100"/>
        <c:noMultiLvlLbl val="0"/>
      </c:catAx>
      <c:valAx>
        <c:axId val="750070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007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5555380577427823E-2"/>
          <c:w val="0.93888888888888888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Sheet2!$O$6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glow rad="76200">
                <a:schemeClr val="accent1">
                  <a:lumMod val="40000"/>
                  <a:lumOff val="60000"/>
                  <a:alpha val="40000"/>
                </a:schemeClr>
              </a:glow>
            </a:effectLst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>
                <a:glow rad="76200">
                  <a:schemeClr val="accent1">
                    <a:lumMod val="40000"/>
                    <a:lumOff val="60000"/>
                    <a:alpha val="40000"/>
                  </a:schemeClr>
                </a:glow>
              </a:effectLst>
            </c:spPr>
          </c:marker>
          <c:cat>
            <c:strRef>
              <c:f>Sheet2!$N$7:$N$14</c:f>
              <c:strCache>
                <c:ptCount val="8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  <c:pt idx="5">
                  <c:v>Q2 2026</c:v>
                </c:pt>
                <c:pt idx="6">
                  <c:v>Q3 2026</c:v>
                </c:pt>
                <c:pt idx="7">
                  <c:v>Q4 2026</c:v>
                </c:pt>
              </c:strCache>
            </c:strRef>
          </c:cat>
          <c:val>
            <c:numRef>
              <c:f>Sheet2!$O$7:$O$14</c:f>
              <c:numCache>
                <c:formatCode>General</c:formatCode>
                <c:ptCount val="8"/>
                <c:pt idx="0">
                  <c:v>2877115</c:v>
                </c:pt>
                <c:pt idx="1">
                  <c:v>2659085</c:v>
                </c:pt>
                <c:pt idx="2">
                  <c:v>3019335</c:v>
                </c:pt>
                <c:pt idx="3">
                  <c:v>2614862</c:v>
                </c:pt>
                <c:pt idx="4">
                  <c:v>3081532</c:v>
                </c:pt>
                <c:pt idx="5">
                  <c:v>2911459</c:v>
                </c:pt>
                <c:pt idx="6">
                  <c:v>2902246</c:v>
                </c:pt>
                <c:pt idx="7">
                  <c:v>2692181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1-4BBD-933F-18BAB1F41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070479"/>
        <c:axId val="750070959"/>
      </c:lineChart>
      <c:catAx>
        <c:axId val="750070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0070959"/>
        <c:crosses val="autoZero"/>
        <c:auto val="1"/>
        <c:lblAlgn val="ctr"/>
        <c:lblOffset val="100"/>
        <c:noMultiLvlLbl val="0"/>
      </c:catAx>
      <c:valAx>
        <c:axId val="750070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007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B3F11"/>
            </a:solidFill>
            <a:ln>
              <a:noFill/>
            </a:ln>
            <a:effectLst/>
          </c:spPr>
          <c:invertIfNegative val="0"/>
          <c:val>
            <c:numRef>
              <c:f>Sheet2!$S$3:$S$22</c:f>
              <c:numCache>
                <c:formatCode>General</c:formatCode>
                <c:ptCount val="20"/>
                <c:pt idx="0">
                  <c:v>3.368973499542733E-2</c:v>
                </c:pt>
                <c:pt idx="1">
                  <c:v>8.4224337488568335E-2</c:v>
                </c:pt>
                <c:pt idx="2">
                  <c:v>0.14037389581428059</c:v>
                </c:pt>
                <c:pt idx="3">
                  <c:v>0.17546736976785074</c:v>
                </c:pt>
                <c:pt idx="4">
                  <c:v>0.17546736976785071</c:v>
                </c:pt>
                <c:pt idx="5">
                  <c:v>0.14622280813987559</c:v>
                </c:pt>
                <c:pt idx="6">
                  <c:v>0.104444862957054</c:v>
                </c:pt>
                <c:pt idx="7">
                  <c:v>6.5278039348158706E-2</c:v>
                </c:pt>
                <c:pt idx="8">
                  <c:v>3.6265577415643749E-2</c:v>
                </c:pt>
                <c:pt idx="9">
                  <c:v>1.8132788707821874E-2</c:v>
                </c:pt>
                <c:pt idx="10">
                  <c:v>8.2421766853735742E-3</c:v>
                </c:pt>
                <c:pt idx="11">
                  <c:v>3.4342402855723282E-3</c:v>
                </c:pt>
                <c:pt idx="12">
                  <c:v>1.3208616482970471E-3</c:v>
                </c:pt>
                <c:pt idx="13">
                  <c:v>4.7173630296323246E-4</c:v>
                </c:pt>
                <c:pt idx="14">
                  <c:v>1.5724543432107704E-4</c:v>
                </c:pt>
                <c:pt idx="15">
                  <c:v>4.9139198225336609E-5</c:v>
                </c:pt>
                <c:pt idx="16">
                  <c:v>1.4452705360393124E-5</c:v>
                </c:pt>
                <c:pt idx="17">
                  <c:v>4.0146403778869831E-6</c:v>
                </c:pt>
                <c:pt idx="18">
                  <c:v>1.0564843099702586E-6</c:v>
                </c:pt>
                <c:pt idx="19">
                  <c:v>2.6412107749256427E-7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9CB-9A8F-91E6FC9E6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242447"/>
        <c:axId val="864245807"/>
      </c:barChart>
      <c:catAx>
        <c:axId val="86424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245807"/>
        <c:crosses val="autoZero"/>
        <c:auto val="1"/>
        <c:lblAlgn val="ctr"/>
        <c:lblOffset val="100"/>
        <c:noMultiLvlLbl val="0"/>
      </c:catAx>
      <c:valAx>
        <c:axId val="8642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242447"/>
        <c:crosses val="autoZero"/>
        <c:crossBetween val="between"/>
      </c:valAx>
      <c:spPr>
        <a:noFill/>
        <a:ln cap="rnd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66403</xdr:colOff>
      <xdr:row>5</xdr:row>
      <xdr:rowOff>57694</xdr:rowOff>
    </xdr:from>
    <xdr:to>
      <xdr:col>23</xdr:col>
      <xdr:colOff>272143</xdr:colOff>
      <xdr:row>42</xdr:row>
      <xdr:rowOff>163286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0BB1108-B5B1-DEEA-5CDD-278731DEEE8A}"/>
            </a:ext>
          </a:extLst>
        </xdr:cNvPr>
        <xdr:cNvGrpSpPr/>
      </xdr:nvGrpSpPr>
      <xdr:grpSpPr>
        <a:xfrm>
          <a:off x="3114403" y="982980"/>
          <a:ext cx="11178540" cy="6952706"/>
          <a:chOff x="3114403" y="982980"/>
          <a:chExt cx="11178540" cy="6952706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EC62FB54-4E27-78F3-E08D-EB2EEE5B14A3}"/>
              </a:ext>
            </a:extLst>
          </xdr:cNvPr>
          <xdr:cNvSpPr/>
        </xdr:nvSpPr>
        <xdr:spPr>
          <a:xfrm>
            <a:off x="3114403" y="982980"/>
            <a:ext cx="11178540" cy="2598420"/>
          </a:xfrm>
          <a:prstGeom prst="roundRect">
            <a:avLst>
              <a:gd name="adj" fmla="val 7686"/>
            </a:avLst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EDC0B7EF-3774-F720-C8B7-229B99233EF9}"/>
              </a:ext>
            </a:extLst>
          </xdr:cNvPr>
          <xdr:cNvSpPr/>
        </xdr:nvSpPr>
        <xdr:spPr>
          <a:xfrm>
            <a:off x="3135086" y="5682343"/>
            <a:ext cx="11125200" cy="146957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3CC15B3A-BC27-5EA6-92C2-238E0B5B5377}"/>
              </a:ext>
            </a:extLst>
          </xdr:cNvPr>
          <xdr:cNvSpPr/>
        </xdr:nvSpPr>
        <xdr:spPr>
          <a:xfrm>
            <a:off x="11049000" y="1034143"/>
            <a:ext cx="2024743" cy="6901543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11</xdr:col>
      <xdr:colOff>402773</xdr:colOff>
      <xdr:row>2</xdr:row>
      <xdr:rowOff>65315</xdr:rowOff>
    </xdr:from>
    <xdr:to>
      <xdr:col>23</xdr:col>
      <xdr:colOff>21771</xdr:colOff>
      <xdr:row>26</xdr:row>
      <xdr:rowOff>152398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D398B58-80DA-43B3-B462-267578D3DCCC}"/>
            </a:ext>
          </a:extLst>
        </xdr:cNvPr>
        <xdr:cNvSpPr/>
      </xdr:nvSpPr>
      <xdr:spPr>
        <a:xfrm>
          <a:off x="7108373" y="435429"/>
          <a:ext cx="6934198" cy="4528455"/>
        </a:xfrm>
        <a:prstGeom prst="roundRect">
          <a:avLst>
            <a:gd name="adj" fmla="val 6369"/>
          </a:avLst>
        </a:prstGeom>
        <a:gradFill>
          <a:gsLst>
            <a:gs pos="75000">
              <a:schemeClr val="bg2">
                <a:lumMod val="10000"/>
                <a:alpha val="89000"/>
              </a:schemeClr>
            </a:gs>
            <a:gs pos="16000">
              <a:schemeClr val="tx1">
                <a:lumMod val="85000"/>
                <a:lumOff val="15000"/>
              </a:schemeClr>
            </a:gs>
            <a:gs pos="6000">
              <a:schemeClr val="tx1">
                <a:lumMod val="65000"/>
                <a:lumOff val="35000"/>
              </a:schemeClr>
            </a:gs>
            <a:gs pos="96000">
              <a:schemeClr val="tx1">
                <a:lumMod val="65000"/>
                <a:lumOff val="35000"/>
              </a:schemeClr>
            </a:gs>
          </a:gsLst>
          <a:lin ang="5400000" scaled="0"/>
        </a:gradFill>
        <a:effectLst>
          <a:glow>
            <a:schemeClr val="accent1">
              <a:alpha val="40000"/>
            </a:schemeClr>
          </a:glow>
          <a:outerShdw blurRad="254000" dist="139700" dir="5400000" algn="ctr" rotWithShape="0">
            <a:srgbClr val="000000">
              <a:alpha val="51000"/>
            </a:srgbClr>
          </a:outerShdw>
          <a:reflection stA="45000" endPos="0" dist="50800" dir="5400000" sy="-100000" algn="bl" rotWithShape="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391885</xdr:colOff>
      <xdr:row>29</xdr:row>
      <xdr:rowOff>32658</xdr:rowOff>
    </xdr:from>
    <xdr:to>
      <xdr:col>23</xdr:col>
      <xdr:colOff>0</xdr:colOff>
      <xdr:row>40</xdr:row>
      <xdr:rowOff>141514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422EDFE-5FAC-8A9D-F8F7-9F308F0D5D33}"/>
            </a:ext>
          </a:extLst>
        </xdr:cNvPr>
        <xdr:cNvSpPr/>
      </xdr:nvSpPr>
      <xdr:spPr>
        <a:xfrm>
          <a:off x="7097485" y="5399315"/>
          <a:ext cx="6923315" cy="2144485"/>
        </a:xfrm>
        <a:prstGeom prst="roundRect">
          <a:avLst>
            <a:gd name="adj" fmla="val 8712"/>
          </a:avLst>
        </a:prstGeom>
        <a:gradFill flip="none" rotWithShape="1">
          <a:gsLst>
            <a:gs pos="11000">
              <a:schemeClr val="accent2">
                <a:lumMod val="75000"/>
                <a:alpha val="86000"/>
              </a:schemeClr>
            </a:gs>
            <a:gs pos="18000">
              <a:schemeClr val="accent2">
                <a:lumMod val="50000"/>
              </a:schemeClr>
            </a:gs>
            <a:gs pos="83000">
              <a:schemeClr val="accent2">
                <a:lumMod val="50000"/>
              </a:schemeClr>
            </a:gs>
            <a:gs pos="91000">
              <a:srgbClr val="D67847"/>
            </a:gs>
            <a:gs pos="98944">
              <a:schemeClr val="accent2">
                <a:lumMod val="40000"/>
                <a:lumOff val="60000"/>
              </a:schemeClr>
            </a:gs>
            <a:gs pos="0">
              <a:schemeClr val="accent2">
                <a:lumMod val="60000"/>
                <a:lumOff val="40000"/>
              </a:schemeClr>
            </a:gs>
          </a:gsLst>
          <a:lin ang="5400000" scaled="0"/>
          <a:tileRect/>
        </a:gradFill>
        <a:ln>
          <a:noFill/>
        </a:ln>
        <a:effectLst>
          <a:glow>
            <a:schemeClr val="accent1">
              <a:alpha val="40000"/>
            </a:schemeClr>
          </a:glow>
          <a:outerShdw blurRad="254000" dist="139700" dir="5400000" algn="ctr" rotWithShape="0">
            <a:srgbClr val="000000">
              <a:alpha val="51000"/>
            </a:srgbClr>
          </a:outerShdw>
          <a:reflection stA="45000" endPos="0" dist="50800" dir="5400000" sy="-100000" algn="bl" rotWithShape="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468086</xdr:colOff>
      <xdr:row>16</xdr:row>
      <xdr:rowOff>54429</xdr:rowOff>
    </xdr:from>
    <xdr:to>
      <xdr:col>10</xdr:col>
      <xdr:colOff>560587</xdr:colOff>
      <xdr:row>26</xdr:row>
      <xdr:rowOff>152401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615AB1F-F7A5-479D-1958-851EB2FF8B1C}"/>
            </a:ext>
          </a:extLst>
        </xdr:cNvPr>
        <xdr:cNvSpPr/>
      </xdr:nvSpPr>
      <xdr:spPr>
        <a:xfrm>
          <a:off x="3516086" y="3015343"/>
          <a:ext cx="3140501" cy="1948544"/>
        </a:xfrm>
        <a:prstGeom prst="roundRect">
          <a:avLst>
            <a:gd name="adj" fmla="val 8287"/>
          </a:avLst>
        </a:prstGeom>
        <a:gradFill flip="none" rotWithShape="1">
          <a:gsLst>
            <a:gs pos="31000">
              <a:srgbClr val="CE6027">
                <a:alpha val="87000"/>
              </a:srgbClr>
            </a:gs>
            <a:gs pos="24000">
              <a:schemeClr val="accent2">
                <a:lumMod val="67000"/>
              </a:schemeClr>
            </a:gs>
            <a:gs pos="82000">
              <a:schemeClr val="accent2">
                <a:lumMod val="60000"/>
                <a:lumOff val="40000"/>
              </a:schemeClr>
            </a:gs>
          </a:gsLst>
          <a:lin ang="5400000" scaled="0"/>
          <a:tileRect/>
        </a:gradFill>
        <a:effectLst>
          <a:glow>
            <a:schemeClr val="accent1">
              <a:alpha val="40000"/>
            </a:schemeClr>
          </a:glow>
          <a:outerShdw blurRad="254000" dist="139700" dir="5400000" algn="ctr" rotWithShape="0">
            <a:srgbClr val="000000">
              <a:alpha val="51000"/>
            </a:srgbClr>
          </a:outerShdw>
          <a:reflection stA="45000" endPos="0" dist="50800" dir="5400000" sy="-100000" algn="bl" rotWithShape="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489858</xdr:colOff>
      <xdr:row>28</xdr:row>
      <xdr:rowOff>174171</xdr:rowOff>
    </xdr:from>
    <xdr:to>
      <xdr:col>10</xdr:col>
      <xdr:colOff>582359</xdr:colOff>
      <xdr:row>40</xdr:row>
      <xdr:rowOff>54429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363E6FD-2FCC-04FD-1B09-FDF3BC84FECF}"/>
            </a:ext>
          </a:extLst>
        </xdr:cNvPr>
        <xdr:cNvSpPr/>
      </xdr:nvSpPr>
      <xdr:spPr>
        <a:xfrm>
          <a:off x="3537858" y="5294811"/>
          <a:ext cx="3140501" cy="2074818"/>
        </a:xfrm>
        <a:prstGeom prst="roundRect">
          <a:avLst>
            <a:gd name="adj" fmla="val 8845"/>
          </a:avLst>
        </a:prstGeom>
        <a:gradFill flip="none" rotWithShape="1">
          <a:gsLst>
            <a:gs pos="78000">
              <a:schemeClr val="tx1">
                <a:lumMod val="95000"/>
                <a:lumOff val="5000"/>
                <a:alpha val="86000"/>
              </a:schemeClr>
            </a:gs>
            <a:gs pos="19000">
              <a:schemeClr val="tx1">
                <a:lumMod val="85000"/>
                <a:lumOff val="15000"/>
              </a:schemeClr>
            </a:gs>
            <a:gs pos="6000">
              <a:schemeClr val="tx1">
                <a:lumMod val="65000"/>
                <a:lumOff val="35000"/>
              </a:schemeClr>
            </a:gs>
            <a:gs pos="96000">
              <a:schemeClr val="tx1">
                <a:lumMod val="65000"/>
                <a:lumOff val="35000"/>
              </a:schemeClr>
            </a:gs>
          </a:gsLst>
          <a:lin ang="5400000" scaled="0"/>
          <a:tileRect/>
        </a:gradFill>
        <a:effectLst>
          <a:glow>
            <a:schemeClr val="accent1">
              <a:alpha val="40000"/>
            </a:schemeClr>
          </a:glow>
          <a:outerShdw blurRad="254000" dist="139700" dir="5400000" algn="ctr" rotWithShape="0">
            <a:srgbClr val="000000">
              <a:alpha val="51000"/>
            </a:srgbClr>
          </a:outerShdw>
          <a:reflection stA="45000" endPos="0" dist="50800" dir="5400000" sy="-100000" algn="bl" rotWithShape="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130629</xdr:colOff>
      <xdr:row>1</xdr:row>
      <xdr:rowOff>163286</xdr:rowOff>
    </xdr:from>
    <xdr:to>
      <xdr:col>10</xdr:col>
      <xdr:colOff>150483</xdr:colOff>
      <xdr:row>15</xdr:row>
      <xdr:rowOff>43543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7C23A5C-A5BE-5CB0-DBC8-F83E6144E62D}"/>
            </a:ext>
          </a:extLst>
        </xdr:cNvPr>
        <xdr:cNvSpPr/>
      </xdr:nvSpPr>
      <xdr:spPr>
        <a:xfrm>
          <a:off x="3788229" y="348343"/>
          <a:ext cx="2458254" cy="2471057"/>
        </a:xfrm>
        <a:prstGeom prst="ellipse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9000">
              <a:srgbClr val="2365A1"/>
            </a:gs>
            <a:gs pos="43000">
              <a:schemeClr val="tx2">
                <a:alpha val="84000"/>
                <a:lumMod val="96000"/>
              </a:schemeClr>
            </a:gs>
          </a:gsLst>
          <a:lin ang="5400000" scaled="1"/>
        </a:gradFill>
        <a:effectLst>
          <a:glow>
            <a:schemeClr val="accent1">
              <a:alpha val="40000"/>
            </a:schemeClr>
          </a:glow>
          <a:outerShdw blurRad="254000" dist="139700" dir="5400000" algn="ctr" rotWithShape="0">
            <a:srgbClr val="000000">
              <a:alpha val="51000"/>
            </a:srgbClr>
          </a:outerShdw>
          <a:reflection stA="45000" endPos="0" dist="50800" dir="5400000" sy="-100000" algn="bl" rotWithShape="0"/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10510</xdr:colOff>
      <xdr:row>17</xdr:row>
      <xdr:rowOff>174713</xdr:rowOff>
    </xdr:from>
    <xdr:to>
      <xdr:col>10</xdr:col>
      <xdr:colOff>557048</xdr:colOff>
      <xdr:row>19</xdr:row>
      <xdr:rowOff>99849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44FE0F4-B154-B49D-29E2-F845F3A1409F}"/>
            </a:ext>
          </a:extLst>
        </xdr:cNvPr>
        <xdr:cNvSpPr txBox="1"/>
      </xdr:nvSpPr>
      <xdr:spPr>
        <a:xfrm>
          <a:off x="4277710" y="3301541"/>
          <a:ext cx="2375338" cy="292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Placeholder Brand Name</a:t>
          </a:r>
        </a:p>
      </xdr:txBody>
    </xdr:sp>
    <xdr:clientData/>
  </xdr:twoCellAnchor>
  <xdr:twoCellAnchor>
    <xdr:from>
      <xdr:col>7</xdr:col>
      <xdr:colOff>14337</xdr:colOff>
      <xdr:row>16</xdr:row>
      <xdr:rowOff>163475</xdr:rowOff>
    </xdr:from>
    <xdr:to>
      <xdr:col>9</xdr:col>
      <xdr:colOff>562303</xdr:colOff>
      <xdr:row>18</xdr:row>
      <xdr:rowOff>21020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DA97C24-9426-4BC0-8681-58D32524A90C}"/>
            </a:ext>
          </a:extLst>
        </xdr:cNvPr>
        <xdr:cNvSpPr txBox="1"/>
      </xdr:nvSpPr>
      <xdr:spPr>
        <a:xfrm>
          <a:off x="4281537" y="3106372"/>
          <a:ext cx="1767166" cy="225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solidFill>
                <a:schemeClr val="bg1">
                  <a:lumMod val="65000"/>
                </a:schemeClr>
              </a:solidFill>
              <a:latin typeface="Bodoni MT" panose="02070603080606020203" pitchFamily="18" charset="0"/>
            </a:rPr>
            <a:t>Progress to Goal</a:t>
          </a:r>
        </a:p>
      </xdr:txBody>
    </xdr:sp>
    <xdr:clientData/>
  </xdr:twoCellAnchor>
  <xdr:twoCellAnchor>
    <xdr:from>
      <xdr:col>6</xdr:col>
      <xdr:colOff>220980</xdr:colOff>
      <xdr:row>24</xdr:row>
      <xdr:rowOff>45720</xdr:rowOff>
    </xdr:from>
    <xdr:to>
      <xdr:col>7</xdr:col>
      <xdr:colOff>601980</xdr:colOff>
      <xdr:row>26</xdr:row>
      <xdr:rowOff>68580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FD1B8A5-2A48-B20E-427F-C1C4AE1CD7A5}"/>
            </a:ext>
          </a:extLst>
        </xdr:cNvPr>
        <xdr:cNvSpPr txBox="1"/>
      </xdr:nvSpPr>
      <xdr:spPr>
        <a:xfrm>
          <a:off x="3878580" y="4434840"/>
          <a:ext cx="9906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 b="1">
              <a:solidFill>
                <a:srgbClr val="9B3F11"/>
              </a:solidFill>
              <a:latin typeface="Bodoni MT" panose="02070603080606020203" pitchFamily="18" charset="0"/>
            </a:rPr>
            <a:t>Q1</a:t>
          </a:r>
          <a:r>
            <a:rPr lang="es-ES" sz="1800" b="1" baseline="0">
              <a:solidFill>
                <a:srgbClr val="9B3F11"/>
              </a:solidFill>
              <a:latin typeface="Bodoni MT" panose="02070603080606020203" pitchFamily="18" charset="0"/>
            </a:rPr>
            <a:t> 2026</a:t>
          </a:r>
          <a:endParaRPr lang="es-ES" sz="1800" b="1">
            <a:solidFill>
              <a:srgbClr val="9B3F11"/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8</xdr:col>
      <xdr:colOff>556260</xdr:colOff>
      <xdr:row>24</xdr:row>
      <xdr:rowOff>30480</xdr:rowOff>
    </xdr:from>
    <xdr:to>
      <xdr:col>10</xdr:col>
      <xdr:colOff>30480</xdr:colOff>
      <xdr:row>26</xdr:row>
      <xdr:rowOff>53340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BFF13CF-5457-4BA4-A66E-14C73332BC4E}"/>
            </a:ext>
          </a:extLst>
        </xdr:cNvPr>
        <xdr:cNvSpPr txBox="1"/>
      </xdr:nvSpPr>
      <xdr:spPr>
        <a:xfrm>
          <a:off x="5433060" y="4419600"/>
          <a:ext cx="69342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800" b="1">
              <a:solidFill>
                <a:srgbClr val="9B3F11"/>
              </a:solidFill>
              <a:latin typeface="Bodoni MT" panose="02070603080606020203" pitchFamily="18" charset="0"/>
            </a:rPr>
            <a:t>1.5M</a:t>
          </a:r>
        </a:p>
      </xdr:txBody>
    </xdr:sp>
    <xdr:clientData/>
  </xdr:twoCellAnchor>
  <xdr:twoCellAnchor>
    <xdr:from>
      <xdr:col>6</xdr:col>
      <xdr:colOff>83820</xdr:colOff>
      <xdr:row>23</xdr:row>
      <xdr:rowOff>45720</xdr:rowOff>
    </xdr:from>
    <xdr:to>
      <xdr:col>8</xdr:col>
      <xdr:colOff>68580</xdr:colOff>
      <xdr:row>24</xdr:row>
      <xdr:rowOff>91440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D06E7AF-A8E6-4FC5-88E8-E2704E7E5AAF}"/>
            </a:ext>
          </a:extLst>
        </xdr:cNvPr>
        <xdr:cNvSpPr txBox="1"/>
      </xdr:nvSpPr>
      <xdr:spPr>
        <a:xfrm>
          <a:off x="3741420" y="4251960"/>
          <a:ext cx="12039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0">
              <a:solidFill>
                <a:srgbClr val="9B3F11"/>
              </a:solidFill>
              <a:latin typeface="Bodoni MT" panose="02070603080606020203" pitchFamily="18" charset="0"/>
            </a:rPr>
            <a:t>Metric</a:t>
          </a:r>
          <a:r>
            <a:rPr lang="es-ES" sz="1200" b="0" baseline="0">
              <a:solidFill>
                <a:srgbClr val="9B3F11"/>
              </a:solidFill>
              <a:latin typeface="Bodoni MT" panose="02070603080606020203" pitchFamily="18" charset="0"/>
            </a:rPr>
            <a:t> Value</a:t>
          </a:r>
          <a:endParaRPr lang="es-ES" sz="1200" b="0">
            <a:solidFill>
              <a:srgbClr val="9B3F11"/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8</xdr:col>
      <xdr:colOff>236220</xdr:colOff>
      <xdr:row>23</xdr:row>
      <xdr:rowOff>38100</xdr:rowOff>
    </xdr:from>
    <xdr:to>
      <xdr:col>10</xdr:col>
      <xdr:colOff>220980</xdr:colOff>
      <xdr:row>24</xdr:row>
      <xdr:rowOff>83820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D588B44-1A90-4D2F-83E2-D9F9E008E55F}"/>
            </a:ext>
          </a:extLst>
        </xdr:cNvPr>
        <xdr:cNvSpPr txBox="1"/>
      </xdr:nvSpPr>
      <xdr:spPr>
        <a:xfrm>
          <a:off x="5113020" y="4244340"/>
          <a:ext cx="12039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0">
              <a:solidFill>
                <a:srgbClr val="9B3F11"/>
              </a:solidFill>
              <a:latin typeface="Bodoni MT" panose="02070603080606020203" pitchFamily="18" charset="0"/>
            </a:rPr>
            <a:t>Goal Value</a:t>
          </a:r>
        </a:p>
      </xdr:txBody>
    </xdr:sp>
    <xdr:clientData/>
  </xdr:twoCellAnchor>
  <xdr:twoCellAnchor>
    <xdr:from>
      <xdr:col>8</xdr:col>
      <xdr:colOff>259079</xdr:colOff>
      <xdr:row>29</xdr:row>
      <xdr:rowOff>177439</xdr:rowOff>
    </xdr:from>
    <xdr:to>
      <xdr:col>10</xdr:col>
      <xdr:colOff>348343</xdr:colOff>
      <xdr:row>31</xdr:row>
      <xdr:rowOff>21772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24F7F87-E23B-43D5-9CB9-55BE1A2D4AB2}"/>
            </a:ext>
          </a:extLst>
        </xdr:cNvPr>
        <xdr:cNvSpPr txBox="1"/>
      </xdr:nvSpPr>
      <xdr:spPr>
        <a:xfrm>
          <a:off x="5135879" y="5544096"/>
          <a:ext cx="1308464" cy="214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Metric value</a:t>
          </a:r>
        </a:p>
      </xdr:txBody>
    </xdr:sp>
    <xdr:clientData/>
  </xdr:twoCellAnchor>
  <xdr:twoCellAnchor>
    <xdr:from>
      <xdr:col>8</xdr:col>
      <xdr:colOff>259079</xdr:colOff>
      <xdr:row>31</xdr:row>
      <xdr:rowOff>144782</xdr:rowOff>
    </xdr:from>
    <xdr:to>
      <xdr:col>10</xdr:col>
      <xdr:colOff>348343</xdr:colOff>
      <xdr:row>33</xdr:row>
      <xdr:rowOff>114300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61C6134-6605-4975-91E3-79C9755013DD}"/>
            </a:ext>
          </a:extLst>
        </xdr:cNvPr>
        <xdr:cNvSpPr txBox="1"/>
      </xdr:nvSpPr>
      <xdr:spPr>
        <a:xfrm>
          <a:off x="5135879" y="5814062"/>
          <a:ext cx="1308464" cy="335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bg1">
                  <a:lumMod val="85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$</a:t>
          </a:r>
          <a:r>
            <a:rPr lang="es-ES" sz="1600" b="1" baseline="0">
              <a:solidFill>
                <a:schemeClr val="bg1">
                  <a:lumMod val="85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 216.4K</a:t>
          </a:r>
          <a:endParaRPr lang="es-ES" sz="1600" b="1">
            <a:solidFill>
              <a:schemeClr val="bg1">
                <a:lumMod val="85000"/>
              </a:schemeClr>
            </a:solidFill>
            <a:latin typeface="Imprint MT Shadow" panose="04020605060303030202" pitchFamily="82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251459</xdr:colOff>
      <xdr:row>34</xdr:row>
      <xdr:rowOff>141516</xdr:rowOff>
    </xdr:from>
    <xdr:to>
      <xdr:col>10</xdr:col>
      <xdr:colOff>340723</xdr:colOff>
      <xdr:row>35</xdr:row>
      <xdr:rowOff>168729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44A6708-1A22-41AE-8603-6CA0B53BCA74}"/>
            </a:ext>
          </a:extLst>
        </xdr:cNvPr>
        <xdr:cNvSpPr txBox="1"/>
      </xdr:nvSpPr>
      <xdr:spPr>
        <a:xfrm>
          <a:off x="5128259" y="6359436"/>
          <a:ext cx="1308464" cy="21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Metric value</a:t>
          </a:r>
        </a:p>
      </xdr:txBody>
    </xdr:sp>
    <xdr:clientData/>
  </xdr:twoCellAnchor>
  <xdr:twoCellAnchor>
    <xdr:from>
      <xdr:col>8</xdr:col>
      <xdr:colOff>251459</xdr:colOff>
      <xdr:row>36</xdr:row>
      <xdr:rowOff>108859</xdr:rowOff>
    </xdr:from>
    <xdr:to>
      <xdr:col>10</xdr:col>
      <xdr:colOff>340723</xdr:colOff>
      <xdr:row>38</xdr:row>
      <xdr:rowOff>78377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00A01EF-CBD0-440A-8C12-4BB159B7C9AD}"/>
            </a:ext>
          </a:extLst>
        </xdr:cNvPr>
        <xdr:cNvSpPr txBox="1"/>
      </xdr:nvSpPr>
      <xdr:spPr>
        <a:xfrm>
          <a:off x="5128259" y="6692539"/>
          <a:ext cx="1308464" cy="335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bg1">
                  <a:lumMod val="85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$</a:t>
          </a:r>
          <a:r>
            <a:rPr lang="es-ES" sz="1600" b="1" baseline="0">
              <a:solidFill>
                <a:schemeClr val="bg1">
                  <a:lumMod val="85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 216.4K</a:t>
          </a:r>
          <a:endParaRPr lang="es-ES" sz="1600" b="1">
            <a:solidFill>
              <a:schemeClr val="bg1">
                <a:lumMod val="85000"/>
              </a:schemeClr>
            </a:solidFill>
            <a:latin typeface="Imprint MT Shadow" panose="04020605060303030202" pitchFamily="82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573676</xdr:colOff>
      <xdr:row>29</xdr:row>
      <xdr:rowOff>139340</xdr:rowOff>
    </xdr:from>
    <xdr:to>
      <xdr:col>15</xdr:col>
      <xdr:colOff>21772</xdr:colOff>
      <xdr:row>31</xdr:row>
      <xdr:rowOff>138249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3BDD385-54BA-4C67-BB6F-CE2A628F3F40}"/>
            </a:ext>
          </a:extLst>
        </xdr:cNvPr>
        <xdr:cNvSpPr txBox="1"/>
      </xdr:nvSpPr>
      <xdr:spPr>
        <a:xfrm>
          <a:off x="7279276" y="5505997"/>
          <a:ext cx="1886496" cy="369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Histogram</a:t>
          </a:r>
          <a:r>
            <a:rPr lang="es-ES" sz="1400" b="1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 example</a:t>
          </a:r>
        </a:p>
      </xdr:txBody>
    </xdr:sp>
    <xdr:clientData/>
  </xdr:twoCellAnchor>
  <xdr:twoCellAnchor>
    <xdr:from>
      <xdr:col>12</xdr:col>
      <xdr:colOff>34833</xdr:colOff>
      <xdr:row>2</xdr:row>
      <xdr:rowOff>153491</xdr:rowOff>
    </xdr:from>
    <xdr:to>
      <xdr:col>15</xdr:col>
      <xdr:colOff>571500</xdr:colOff>
      <xdr:row>5</xdr:row>
      <xdr:rowOff>45720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F018CA8-5107-4A0A-B593-F2BE53E75F7E}"/>
            </a:ext>
          </a:extLst>
        </xdr:cNvPr>
        <xdr:cNvSpPr txBox="1"/>
      </xdr:nvSpPr>
      <xdr:spPr>
        <a:xfrm>
          <a:off x="7350033" y="519251"/>
          <a:ext cx="2365467" cy="440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>
              <a:solidFill>
                <a:schemeClr val="bg1">
                  <a:lumMod val="95000"/>
                </a:schemeClr>
              </a:solidFill>
              <a:latin typeface="Bodoni MT" panose="02070603080606020203" pitchFamily="18" charset="0"/>
            </a:rPr>
            <a:t>Histogram example</a:t>
          </a:r>
        </a:p>
      </xdr:txBody>
    </xdr:sp>
    <xdr:clientData/>
  </xdr:twoCellAnchor>
  <xdr:twoCellAnchor>
    <xdr:from>
      <xdr:col>12</xdr:col>
      <xdr:colOff>68578</xdr:colOff>
      <xdr:row>4</xdr:row>
      <xdr:rowOff>179616</xdr:rowOff>
    </xdr:from>
    <xdr:to>
      <xdr:col>15</xdr:col>
      <xdr:colOff>289559</xdr:colOff>
      <xdr:row>6</xdr:row>
      <xdr:rowOff>129540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D1F707C-0BA5-4252-9A0F-1C1B1F1308DF}"/>
            </a:ext>
          </a:extLst>
        </xdr:cNvPr>
        <xdr:cNvSpPr txBox="1"/>
      </xdr:nvSpPr>
      <xdr:spPr>
        <a:xfrm>
          <a:off x="7383778" y="911136"/>
          <a:ext cx="2049781" cy="3156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rgbClr val="CFE3F5"/>
              </a:solidFill>
              <a:latin typeface="Bodoni MT" panose="02070603080606020203" pitchFamily="18" charset="0"/>
            </a:rPr>
            <a:t>Main Metric or KPI</a:t>
          </a:r>
          <a:r>
            <a:rPr lang="es-ES" sz="1200" baseline="0">
              <a:solidFill>
                <a:srgbClr val="CFE3F5"/>
              </a:solidFill>
              <a:latin typeface="Bodoni MT" panose="02070603080606020203" pitchFamily="18" charset="0"/>
            </a:rPr>
            <a:t> Title</a:t>
          </a:r>
          <a:endParaRPr lang="es-ES" sz="1200">
            <a:solidFill>
              <a:srgbClr val="CFE3F5"/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12</xdr:col>
      <xdr:colOff>68578</xdr:colOff>
      <xdr:row>6</xdr:row>
      <xdr:rowOff>146958</xdr:rowOff>
    </xdr:from>
    <xdr:to>
      <xdr:col>14</xdr:col>
      <xdr:colOff>449579</xdr:colOff>
      <xdr:row>9</xdr:row>
      <xdr:rowOff>99059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83039DC-44BC-4385-B23C-EE9A2EACD8FF}"/>
            </a:ext>
          </a:extLst>
        </xdr:cNvPr>
        <xdr:cNvSpPr txBox="1"/>
      </xdr:nvSpPr>
      <xdr:spPr>
        <a:xfrm>
          <a:off x="7383778" y="1244238"/>
          <a:ext cx="1600201" cy="500741"/>
        </a:xfrm>
        <a:prstGeom prst="rect">
          <a:avLst/>
        </a:prstGeom>
        <a:noFill/>
        <a:ln w="9525" cmpd="sng">
          <a:noFill/>
        </a:ln>
        <a:effectLst>
          <a:glow rad="431800">
            <a:schemeClr val="accent1">
              <a:lumMod val="40000"/>
              <a:lumOff val="60000"/>
              <a:alpha val="87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3200" b="1">
              <a:solidFill>
                <a:schemeClr val="bg1">
                  <a:lumMod val="85000"/>
                </a:schemeClr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</a:effectLst>
              <a:latin typeface="Garamond" panose="02020404030301010803" pitchFamily="18" charset="0"/>
              <a:cs typeface="Calibri" panose="020F0502020204030204" pitchFamily="34" charset="0"/>
            </a:rPr>
            <a:t>$</a:t>
          </a:r>
          <a:r>
            <a:rPr lang="es-ES" sz="3200" b="1" baseline="0">
              <a:solidFill>
                <a:schemeClr val="bg1">
                  <a:lumMod val="85000"/>
                </a:schemeClr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</a:effectLst>
              <a:latin typeface="Garamond" panose="02020404030301010803" pitchFamily="18" charset="0"/>
              <a:cs typeface="Calibri" panose="020F0502020204030204" pitchFamily="34" charset="0"/>
            </a:rPr>
            <a:t> 2.9M</a:t>
          </a:r>
          <a:endParaRPr lang="es-ES" sz="3200" b="1">
            <a:solidFill>
              <a:schemeClr val="bg1">
                <a:lumMod val="85000"/>
              </a:schemeClr>
            </a:solidFill>
            <a:effectLst>
              <a:glow rad="101600">
                <a:schemeClr val="accent1">
                  <a:satMod val="175000"/>
                  <a:alpha val="40000"/>
                </a:schemeClr>
              </a:glow>
            </a:effectLst>
            <a:latin typeface="Garamond" panose="02020404030301010803" pitchFamily="18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76198</xdr:colOff>
      <xdr:row>9</xdr:row>
      <xdr:rowOff>103417</xdr:rowOff>
    </xdr:from>
    <xdr:to>
      <xdr:col>15</xdr:col>
      <xdr:colOff>22859</xdr:colOff>
      <xdr:row>10</xdr:row>
      <xdr:rowOff>121921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CB3ABB7-BA56-493D-AD70-3A319F222989}"/>
            </a:ext>
          </a:extLst>
        </xdr:cNvPr>
        <xdr:cNvSpPr txBox="1"/>
      </xdr:nvSpPr>
      <xdr:spPr>
        <a:xfrm>
          <a:off x="7391398" y="1749337"/>
          <a:ext cx="1775461" cy="201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solidFill>
                <a:schemeClr val="bg1">
                  <a:lumMod val="75000"/>
                </a:schemeClr>
              </a:solidFill>
              <a:latin typeface="Bodoni MT" panose="02070603080606020203" pitchFamily="18" charset="0"/>
            </a:rPr>
            <a:t>Change from last period</a:t>
          </a:r>
        </a:p>
      </xdr:txBody>
    </xdr:sp>
    <xdr:clientData/>
  </xdr:twoCellAnchor>
  <xdr:twoCellAnchor>
    <xdr:from>
      <xdr:col>12</xdr:col>
      <xdr:colOff>76199</xdr:colOff>
      <xdr:row>10</xdr:row>
      <xdr:rowOff>162199</xdr:rowOff>
    </xdr:from>
    <xdr:to>
      <xdr:col>14</xdr:col>
      <xdr:colOff>165463</xdr:colOff>
      <xdr:row>12</xdr:row>
      <xdr:rowOff>131717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A988AEE-ED0D-4380-B8A4-543B1DAC526E}"/>
            </a:ext>
          </a:extLst>
        </xdr:cNvPr>
        <xdr:cNvSpPr txBox="1"/>
      </xdr:nvSpPr>
      <xdr:spPr>
        <a:xfrm>
          <a:off x="7391399" y="1990999"/>
          <a:ext cx="1308464" cy="335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6">
                  <a:lumMod val="40000"/>
                  <a:lumOff val="60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+ $</a:t>
          </a:r>
          <a:r>
            <a:rPr lang="es-ES" sz="1600" b="1" baseline="0">
              <a:solidFill>
                <a:schemeClr val="accent6">
                  <a:lumMod val="40000"/>
                  <a:lumOff val="60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 100,000</a:t>
          </a:r>
          <a:endParaRPr lang="es-ES" sz="1600" b="1">
            <a:solidFill>
              <a:schemeClr val="accent6">
                <a:lumMod val="40000"/>
                <a:lumOff val="60000"/>
              </a:schemeClr>
            </a:solidFill>
            <a:latin typeface="Imprint MT Shadow" panose="04020605060303030202" pitchFamily="82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7620</xdr:colOff>
      <xdr:row>13</xdr:row>
      <xdr:rowOff>22860</xdr:rowOff>
    </xdr:from>
    <xdr:to>
      <xdr:col>17</xdr:col>
      <xdr:colOff>60960</xdr:colOff>
      <xdr:row>26</xdr:row>
      <xdr:rowOff>30480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9A33BCD5-EBA7-47E2-A9B8-C2AFE5DCE88A}"/>
            </a:ext>
          </a:extLst>
        </xdr:cNvPr>
        <xdr:cNvSpPr/>
      </xdr:nvSpPr>
      <xdr:spPr>
        <a:xfrm>
          <a:off x="7322820" y="2400300"/>
          <a:ext cx="3101340" cy="2385060"/>
        </a:xfrm>
        <a:prstGeom prst="roundRect">
          <a:avLst/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160019</xdr:colOff>
      <xdr:row>13</xdr:row>
      <xdr:rowOff>133896</xdr:rowOff>
    </xdr:from>
    <xdr:to>
      <xdr:col>14</xdr:col>
      <xdr:colOff>249283</xdr:colOff>
      <xdr:row>14</xdr:row>
      <xdr:rowOff>161109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BD75DBD-8C2F-4254-87EE-190B5C1962D4}"/>
            </a:ext>
          </a:extLst>
        </xdr:cNvPr>
        <xdr:cNvSpPr txBox="1"/>
      </xdr:nvSpPr>
      <xdr:spPr>
        <a:xfrm>
          <a:off x="7475219" y="2511336"/>
          <a:ext cx="1308464" cy="21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Metric value</a:t>
          </a:r>
        </a:p>
      </xdr:txBody>
    </xdr:sp>
    <xdr:clientData/>
  </xdr:twoCellAnchor>
  <xdr:twoCellAnchor>
    <xdr:from>
      <xdr:col>12</xdr:col>
      <xdr:colOff>160019</xdr:colOff>
      <xdr:row>15</xdr:row>
      <xdr:rowOff>9799</xdr:rowOff>
    </xdr:from>
    <xdr:to>
      <xdr:col>14</xdr:col>
      <xdr:colOff>249283</xdr:colOff>
      <xdr:row>16</xdr:row>
      <xdr:rowOff>162197</xdr:rowOff>
    </xdr:to>
    <xdr:sp macro="" textlink="Sheet2!J17">
      <xdr:nvSpPr>
        <xdr:cNvPr id="51" name="TextBox 50">
          <a:extLst>
            <a:ext uri="{FF2B5EF4-FFF2-40B4-BE49-F238E27FC236}">
              <a16:creationId xmlns:a16="http://schemas.microsoft.com/office/drawing/2014/main" id="{17208017-3355-45B1-B040-7F277974F0B4}"/>
            </a:ext>
          </a:extLst>
        </xdr:cNvPr>
        <xdr:cNvSpPr txBox="1"/>
      </xdr:nvSpPr>
      <xdr:spPr>
        <a:xfrm>
          <a:off x="7475219" y="2752999"/>
          <a:ext cx="1308464" cy="335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CEA14D6-1245-4682-BF05-BC6180D3FE46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Imprint MT Shadow" panose="04020605060303030202" pitchFamily="82" charset="0"/>
              <a:cs typeface="Calibri" panose="020F0502020204030204" pitchFamily="34" charset="0"/>
            </a:rPr>
            <a:t>$ 2.9M</a:t>
          </a:fld>
          <a:endParaRPr lang="es-ES" sz="1400" b="1">
            <a:solidFill>
              <a:schemeClr val="bg1">
                <a:lumMod val="95000"/>
              </a:schemeClr>
            </a:solidFill>
            <a:latin typeface="Imprint MT Shadow" panose="04020605060303030202" pitchFamily="82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17</xdr:col>
      <xdr:colOff>388620</xdr:colOff>
      <xdr:row>13</xdr:row>
      <xdr:rowOff>0</xdr:rowOff>
    </xdr:from>
    <xdr:to>
      <xdr:col>22</xdr:col>
      <xdr:colOff>441960</xdr:colOff>
      <xdr:row>26</xdr:row>
      <xdr:rowOff>7620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797E1EF6-2F2F-42C5-96A4-B1B155FBD3EB}"/>
            </a:ext>
          </a:extLst>
        </xdr:cNvPr>
        <xdr:cNvSpPr/>
      </xdr:nvSpPr>
      <xdr:spPr>
        <a:xfrm>
          <a:off x="10751820" y="2411896"/>
          <a:ext cx="3101340" cy="2419515"/>
        </a:xfrm>
        <a:prstGeom prst="roundRect">
          <a:avLst/>
        </a:prstGeom>
        <a:solidFill>
          <a:schemeClr val="bg1">
            <a:alpha val="1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541019</xdr:colOff>
      <xdr:row>13</xdr:row>
      <xdr:rowOff>111036</xdr:rowOff>
    </xdr:from>
    <xdr:to>
      <xdr:col>20</xdr:col>
      <xdr:colOff>20683</xdr:colOff>
      <xdr:row>14</xdr:row>
      <xdr:rowOff>138249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B78BC76-E98C-46F5-812C-A373EE9F2A16}"/>
            </a:ext>
          </a:extLst>
        </xdr:cNvPr>
        <xdr:cNvSpPr txBox="1"/>
      </xdr:nvSpPr>
      <xdr:spPr>
        <a:xfrm>
          <a:off x="10904219" y="2488476"/>
          <a:ext cx="1308464" cy="21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</a:rPr>
            <a:t>Metric value</a:t>
          </a:r>
        </a:p>
      </xdr:txBody>
    </xdr:sp>
    <xdr:clientData/>
  </xdr:twoCellAnchor>
  <xdr:twoCellAnchor>
    <xdr:from>
      <xdr:col>17</xdr:col>
      <xdr:colOff>541019</xdr:colOff>
      <xdr:row>14</xdr:row>
      <xdr:rowOff>169819</xdr:rowOff>
    </xdr:from>
    <xdr:to>
      <xdr:col>20</xdr:col>
      <xdr:colOff>20683</xdr:colOff>
      <xdr:row>16</xdr:row>
      <xdr:rowOff>139337</xdr:rowOff>
    </xdr:to>
    <xdr:sp macro="" textlink="Sheet2!O17">
      <xdr:nvSpPr>
        <xdr:cNvPr id="54" name="TextBox 53">
          <a:extLst>
            <a:ext uri="{FF2B5EF4-FFF2-40B4-BE49-F238E27FC236}">
              <a16:creationId xmlns:a16="http://schemas.microsoft.com/office/drawing/2014/main" id="{E91BAA9A-2574-4FA4-8ED1-AF7475E1A474}"/>
            </a:ext>
          </a:extLst>
        </xdr:cNvPr>
        <xdr:cNvSpPr txBox="1"/>
      </xdr:nvSpPr>
      <xdr:spPr>
        <a:xfrm>
          <a:off x="10904219" y="2730139"/>
          <a:ext cx="1308464" cy="335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AFB64C9-66EF-4327-8EC7-4242B431B5FD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Imprint MT Shadow" panose="04020605060303030202" pitchFamily="82" charset="0"/>
              <a:ea typeface="+mn-ea"/>
              <a:cs typeface="Calibri" panose="020F0502020204030204" pitchFamily="34" charset="0"/>
            </a:rPr>
            <a:pPr marL="0" indent="0"/>
            <a:t>$ 2.8M</a:t>
          </a:fld>
          <a:endParaRPr lang="es-ES" sz="1400" b="0" i="0" u="none" strike="noStrike">
            <a:solidFill>
              <a:schemeClr val="bg1">
                <a:lumMod val="95000"/>
              </a:schemeClr>
            </a:solidFill>
            <a:latin typeface="Imprint MT Shadow" panose="04020605060303030202" pitchFamily="82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582670</xdr:colOff>
      <xdr:row>2</xdr:row>
      <xdr:rowOff>48511</xdr:rowOff>
    </xdr:from>
    <xdr:to>
      <xdr:col>11</xdr:col>
      <xdr:colOff>337930</xdr:colOff>
      <xdr:row>14</xdr:row>
      <xdr:rowOff>92765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63A9C4FE-0B8E-4BAD-A602-150B555A0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303852</xdr:colOff>
      <xdr:row>6</xdr:row>
      <xdr:rowOff>62949</xdr:rowOff>
    </xdr:from>
    <xdr:to>
      <xdr:col>9</xdr:col>
      <xdr:colOff>575995</xdr:colOff>
      <xdr:row>8</xdr:row>
      <xdr:rowOff>95606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06A20FA-6991-459A-85F4-7BFB20FFFB96}"/>
            </a:ext>
          </a:extLst>
        </xdr:cNvPr>
        <xdr:cNvSpPr txBox="1"/>
      </xdr:nvSpPr>
      <xdr:spPr>
        <a:xfrm>
          <a:off x="3961452" y="1176132"/>
          <a:ext cx="2100943" cy="403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>
              <a:solidFill>
                <a:schemeClr val="bg2">
                  <a:lumMod val="75000"/>
                </a:schemeClr>
              </a:solidFill>
              <a:latin typeface="Bodoni MT" panose="02070603080606020203" pitchFamily="18" charset="0"/>
            </a:rPr>
            <a:t>Progress to Goal</a:t>
          </a:r>
        </a:p>
      </xdr:txBody>
    </xdr:sp>
    <xdr:clientData/>
  </xdr:twoCellAnchor>
  <xdr:twoCellAnchor>
    <xdr:from>
      <xdr:col>7</xdr:col>
      <xdr:colOff>63061</xdr:colOff>
      <xdr:row>4</xdr:row>
      <xdr:rowOff>98035</xdr:rowOff>
    </xdr:from>
    <xdr:to>
      <xdr:col>9</xdr:col>
      <xdr:colOff>199926</xdr:colOff>
      <xdr:row>12</xdr:row>
      <xdr:rowOff>31531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F666A7D2-8EB3-AE2E-57DE-D76188DFE87F}"/>
            </a:ext>
          </a:extLst>
        </xdr:cNvPr>
        <xdr:cNvSpPr/>
      </xdr:nvSpPr>
      <xdr:spPr>
        <a:xfrm>
          <a:off x="4330261" y="833759"/>
          <a:ext cx="1356065" cy="1404944"/>
        </a:xfrm>
        <a:prstGeom prst="ellipse">
          <a:avLst/>
        </a:prstGeom>
        <a:noFill/>
        <a:ln>
          <a:solidFill>
            <a:srgbClr val="CFE3F5">
              <a:alpha val="10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75203</xdr:colOff>
      <xdr:row>7</xdr:row>
      <xdr:rowOff>137682</xdr:rowOff>
    </xdr:from>
    <xdr:to>
      <xdr:col>9</xdr:col>
      <xdr:colOff>410816</xdr:colOff>
      <xdr:row>11</xdr:row>
      <xdr:rowOff>152400</xdr:rowOff>
    </xdr:to>
    <xdr:sp macro="" textlink="Sheet2!B8">
      <xdr:nvSpPr>
        <xdr:cNvPr id="59" name="TextBox 58">
          <a:extLst>
            <a:ext uri="{FF2B5EF4-FFF2-40B4-BE49-F238E27FC236}">
              <a16:creationId xmlns:a16="http://schemas.microsoft.com/office/drawing/2014/main" id="{BC00B9C0-8C27-4E75-BEFA-AC0286E23972}"/>
            </a:ext>
          </a:extLst>
        </xdr:cNvPr>
        <xdr:cNvSpPr txBox="1"/>
      </xdr:nvSpPr>
      <xdr:spPr>
        <a:xfrm>
          <a:off x="4342403" y="1436395"/>
          <a:ext cx="1554813" cy="756840"/>
        </a:xfrm>
        <a:prstGeom prst="rect">
          <a:avLst/>
        </a:prstGeom>
        <a:noFill/>
        <a:ln w="9525" cmpd="sng">
          <a:noFill/>
        </a:ln>
        <a:effectLst>
          <a:glow rad="431800">
            <a:schemeClr val="accent1">
              <a:lumMod val="40000"/>
              <a:lumOff val="60000"/>
              <a:alpha val="87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4E5EEB9-E956-4F6D-93DF-FCD153D1A33C}" type="TxLink">
            <a:rPr lang="en-US" sz="3200" b="0" i="0" u="none" strike="noStrike"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</a:effectLst>
              <a:latin typeface="Bodoni MT" panose="02070603080606020203" pitchFamily="18" charset="0"/>
              <a:cs typeface="Calibri" panose="020F0502020204030204" pitchFamily="34" charset="0"/>
            </a:rPr>
            <a:pPr algn="ctr"/>
            <a:t>87%</a:t>
          </a:fld>
          <a:endParaRPr lang="es-ES" sz="3200" b="1">
            <a:solidFill>
              <a:schemeClr val="bg1"/>
            </a:solidFill>
            <a:effectLst>
              <a:glow rad="101600">
                <a:schemeClr val="accent1">
                  <a:satMod val="175000"/>
                  <a:alpha val="40000"/>
                </a:schemeClr>
              </a:glow>
            </a:effectLst>
            <a:latin typeface="Bodoni MT" panose="02070603080606020203" pitchFamily="18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583324</xdr:colOff>
      <xdr:row>19</xdr:row>
      <xdr:rowOff>148437</xdr:rowOff>
    </xdr:from>
    <xdr:to>
      <xdr:col>10</xdr:col>
      <xdr:colOff>509752</xdr:colOff>
      <xdr:row>23</xdr:row>
      <xdr:rowOff>84082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2AFFA90-1551-409D-8CE6-6751F0FB4F1A}"/>
            </a:ext>
          </a:extLst>
        </xdr:cNvPr>
        <xdr:cNvSpPr txBox="1"/>
      </xdr:nvSpPr>
      <xdr:spPr>
        <a:xfrm>
          <a:off x="3631324" y="3643127"/>
          <a:ext cx="2974428" cy="671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  <a:ea typeface="+mn-ea"/>
              <a:cs typeface="+mn-cs"/>
            </a:rPr>
            <a:t>Romulus et Remus urbem in monte Palatino condiderunt, ubi magna auspicia deorum viderant.</a:t>
          </a:r>
        </a:p>
      </xdr:txBody>
    </xdr:sp>
    <xdr:clientData/>
  </xdr:twoCellAnchor>
  <xdr:twoCellAnchor>
    <xdr:from>
      <xdr:col>15</xdr:col>
      <xdr:colOff>477252</xdr:colOff>
      <xdr:row>2</xdr:row>
      <xdr:rowOff>160422</xdr:rowOff>
    </xdr:from>
    <xdr:to>
      <xdr:col>22</xdr:col>
      <xdr:colOff>324853</xdr:colOff>
      <xdr:row>12</xdr:row>
      <xdr:rowOff>68179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104AC372-7BB4-4DDA-ADF0-C5386E99C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609021</xdr:colOff>
      <xdr:row>16</xdr:row>
      <xdr:rowOff>116231</xdr:rowOff>
    </xdr:from>
    <xdr:to>
      <xdr:col>7</xdr:col>
      <xdr:colOff>31530</xdr:colOff>
      <xdr:row>19</xdr:row>
      <xdr:rowOff>130551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0D25724-2353-4A02-85DA-8B64614D1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021" y="3059128"/>
          <a:ext cx="641709" cy="566113"/>
        </a:xfrm>
        <a:prstGeom prst="rect">
          <a:avLst/>
        </a:prstGeom>
      </xdr:spPr>
    </xdr:pic>
    <xdr:clientData/>
  </xdr:twoCellAnchor>
  <xdr:twoCellAnchor>
    <xdr:from>
      <xdr:col>12</xdr:col>
      <xdr:colOff>22244</xdr:colOff>
      <xdr:row>16</xdr:row>
      <xdr:rowOff>136783</xdr:rowOff>
    </xdr:from>
    <xdr:to>
      <xdr:col>17</xdr:col>
      <xdr:colOff>86139</xdr:colOff>
      <xdr:row>26</xdr:row>
      <xdr:rowOff>119271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661FC1-D7C7-4E0A-BA9D-D98717AA9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534063</xdr:colOff>
      <xdr:row>17</xdr:row>
      <xdr:rowOff>79514</xdr:rowOff>
    </xdr:from>
    <xdr:to>
      <xdr:col>22</xdr:col>
      <xdr:colOff>523460</xdr:colOff>
      <xdr:row>24</xdr:row>
      <xdr:rowOff>46383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24B45D-523B-420F-8506-F9FC957DD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185180</xdr:colOff>
      <xdr:row>35</xdr:row>
      <xdr:rowOff>6128</xdr:rowOff>
    </xdr:from>
    <xdr:to>
      <xdr:col>8</xdr:col>
      <xdr:colOff>205409</xdr:colOff>
      <xdr:row>38</xdr:row>
      <xdr:rowOff>140991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F6BBC3A-45C4-93BB-EA12-CD50372C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42780" y="6499693"/>
          <a:ext cx="1239429" cy="691455"/>
        </a:xfrm>
        <a:prstGeom prst="rect">
          <a:avLst/>
        </a:prstGeom>
      </xdr:spPr>
    </xdr:pic>
    <xdr:clientData/>
  </xdr:twoCellAnchor>
  <xdr:twoCellAnchor editAs="oneCell">
    <xdr:from>
      <xdr:col>6</xdr:col>
      <xdr:colOff>137313</xdr:colOff>
      <xdr:row>30</xdr:row>
      <xdr:rowOff>66260</xdr:rowOff>
    </xdr:from>
    <xdr:to>
      <xdr:col>8</xdr:col>
      <xdr:colOff>229234</xdr:colOff>
      <xdr:row>33</xdr:row>
      <xdr:rowOff>125896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3E8C64-D159-0139-0DBD-F004AB7EE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94913" y="5632173"/>
          <a:ext cx="1311121" cy="616227"/>
        </a:xfrm>
        <a:prstGeom prst="rect">
          <a:avLst/>
        </a:prstGeom>
      </xdr:spPr>
    </xdr:pic>
    <xdr:clientData/>
  </xdr:twoCellAnchor>
  <xdr:twoCellAnchor>
    <xdr:from>
      <xdr:col>15</xdr:col>
      <xdr:colOff>143435</xdr:colOff>
      <xdr:row>30</xdr:row>
      <xdr:rowOff>53788</xdr:rowOff>
    </xdr:from>
    <xdr:to>
      <xdr:col>22</xdr:col>
      <xdr:colOff>268941</xdr:colOff>
      <xdr:row>39</xdr:row>
      <xdr:rowOff>116541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F699A8-B8D4-4FB5-BA74-DD0C435D2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561552</xdr:colOff>
      <xdr:row>32</xdr:row>
      <xdr:rowOff>29069</xdr:rowOff>
    </xdr:from>
    <xdr:to>
      <xdr:col>15</xdr:col>
      <xdr:colOff>21771</xdr:colOff>
      <xdr:row>36</xdr:row>
      <xdr:rowOff>163286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B036C15-B0C5-4E7E-A293-D9ACD6E50A10}"/>
            </a:ext>
          </a:extLst>
        </xdr:cNvPr>
        <xdr:cNvSpPr txBox="1"/>
      </xdr:nvSpPr>
      <xdr:spPr>
        <a:xfrm>
          <a:off x="7267152" y="5950898"/>
          <a:ext cx="1898619" cy="874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bg1">
                  <a:lumMod val="85000"/>
                </a:schemeClr>
              </a:solidFill>
              <a:latin typeface="Bodoni MT" panose="02070603080606020203" pitchFamily="18" charset="0"/>
              <a:ea typeface="+mn-ea"/>
              <a:cs typeface="+mn-cs"/>
            </a:rPr>
            <a:t>Romulus et Remus urbem in monte Palatino condiderunt, ubi magna auspicia deorum viderant.</a:t>
          </a:r>
        </a:p>
      </xdr:txBody>
    </xdr:sp>
    <xdr:clientData/>
  </xdr:twoCellAnchor>
  <xdr:twoCellAnchor>
    <xdr:from>
      <xdr:col>12</xdr:col>
      <xdr:colOff>341586</xdr:colOff>
      <xdr:row>37</xdr:row>
      <xdr:rowOff>15766</xdr:rowOff>
    </xdr:from>
    <xdr:to>
      <xdr:col>14</xdr:col>
      <xdr:colOff>199696</xdr:colOff>
      <xdr:row>40</xdr:row>
      <xdr:rowOff>21021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7AA46849-7D0A-0D0F-352D-02CDEA877B51}"/>
            </a:ext>
          </a:extLst>
        </xdr:cNvPr>
        <xdr:cNvSpPr/>
      </xdr:nvSpPr>
      <xdr:spPr>
        <a:xfrm>
          <a:off x="7656786" y="6821214"/>
          <a:ext cx="1077310" cy="557048"/>
        </a:xfrm>
        <a:prstGeom prst="roundRect">
          <a:avLst/>
        </a:prstGeom>
        <a:solidFill>
          <a:schemeClr val="bg1">
            <a:alpha val="3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lt1">
                <a:alpha val="13000"/>
              </a:schemeClr>
            </a:solidFill>
          </a:endParaRPr>
        </a:p>
      </xdr:txBody>
    </xdr:sp>
    <xdr:clientData/>
  </xdr:twoCellAnchor>
  <xdr:twoCellAnchor>
    <xdr:from>
      <xdr:col>12</xdr:col>
      <xdr:colOff>339634</xdr:colOff>
      <xdr:row>38</xdr:row>
      <xdr:rowOff>12163</xdr:rowOff>
    </xdr:from>
    <xdr:to>
      <xdr:col>14</xdr:col>
      <xdr:colOff>200297</xdr:colOff>
      <xdr:row>40</xdr:row>
      <xdr:rowOff>35023</xdr:rowOff>
    </xdr:to>
    <xdr:sp macro="" textlink="Sheet2!U2">
      <xdr:nvSpPr>
        <xdr:cNvPr id="36" name="TextBox 35">
          <a:extLst>
            <a:ext uri="{FF2B5EF4-FFF2-40B4-BE49-F238E27FC236}">
              <a16:creationId xmlns:a16="http://schemas.microsoft.com/office/drawing/2014/main" id="{3B83F381-B327-40FB-95DC-92BFF9A24966}"/>
            </a:ext>
          </a:extLst>
        </xdr:cNvPr>
        <xdr:cNvSpPr txBox="1"/>
      </xdr:nvSpPr>
      <xdr:spPr>
        <a:xfrm>
          <a:off x="7654834" y="6961603"/>
          <a:ext cx="1079863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761DA55-55CA-4553-A951-2B06F0C47B33}" type="TxLink">
            <a:rPr lang="en-US" sz="1800" b="0" i="0" u="none" strike="noStrike">
              <a:solidFill>
                <a:schemeClr val="accent1">
                  <a:lumMod val="50000"/>
                </a:schemeClr>
              </a:solidFill>
              <a:latin typeface="Bodoni MT" panose="02070603080606020203" pitchFamily="18" charset="0"/>
            </a:rPr>
            <a:pPr algn="ctr"/>
            <a:t>5</a:t>
          </a:fld>
          <a:endParaRPr lang="es-ES" sz="1800" b="1">
            <a:solidFill>
              <a:schemeClr val="accent1">
                <a:lumMod val="50000"/>
              </a:schemeClr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12</xdr:col>
      <xdr:colOff>330925</xdr:colOff>
      <xdr:row>37</xdr:row>
      <xdr:rowOff>12163</xdr:rowOff>
    </xdr:from>
    <xdr:to>
      <xdr:col>14</xdr:col>
      <xdr:colOff>200296</xdr:colOff>
      <xdr:row>38</xdr:row>
      <xdr:rowOff>57883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EB21E31-7A6F-439F-80E6-8D16E3A39AA0}"/>
            </a:ext>
          </a:extLst>
        </xdr:cNvPr>
        <xdr:cNvSpPr txBox="1"/>
      </xdr:nvSpPr>
      <xdr:spPr>
        <a:xfrm>
          <a:off x="7646125" y="6778723"/>
          <a:ext cx="1088571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0">
              <a:solidFill>
                <a:schemeClr val="accent1">
                  <a:lumMod val="50000"/>
                </a:schemeClr>
              </a:solidFill>
              <a:latin typeface="Bodoni MT" panose="02070603080606020203" pitchFamily="18" charset="0"/>
            </a:rPr>
            <a:t>Metric</a:t>
          </a:r>
          <a:r>
            <a:rPr lang="es-ES" sz="1200" b="0" baseline="0">
              <a:solidFill>
                <a:schemeClr val="accent1">
                  <a:lumMod val="50000"/>
                </a:schemeClr>
              </a:solidFill>
              <a:latin typeface="Bodoni MT" panose="02070603080606020203" pitchFamily="18" charset="0"/>
            </a:rPr>
            <a:t> Value</a:t>
          </a:r>
          <a:endParaRPr lang="es-ES" sz="1200" b="0">
            <a:solidFill>
              <a:schemeClr val="accent1">
                <a:lumMod val="50000"/>
              </a:schemeClr>
            </a:solidFill>
            <a:latin typeface="Bodoni MT" panose="02070603080606020203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C5C3-4C40-4520-BCD7-308D999BE46E}">
  <dimension ref="A1"/>
  <sheetViews>
    <sheetView showGridLines="0" tabSelected="1" topLeftCell="D2" zoomScale="70" zoomScaleNormal="70" workbookViewId="0">
      <selection activeCell="O43" sqref="O43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F382-61B2-45D8-B757-99E1FC30DB33}">
  <dimension ref="B1:U24"/>
  <sheetViews>
    <sheetView topLeftCell="J1" zoomScale="130" zoomScaleNormal="130" workbookViewId="0">
      <selection activeCell="S25" sqref="S25"/>
    </sheetView>
  </sheetViews>
  <sheetFormatPr defaultRowHeight="14.4" x14ac:dyDescent="0.3"/>
  <cols>
    <col min="2" max="2" width="17.5546875" bestFit="1" customWidth="1"/>
  </cols>
  <sheetData>
    <row r="1" spans="2:21" x14ac:dyDescent="0.3">
      <c r="U1" t="s">
        <v>12</v>
      </c>
    </row>
    <row r="2" spans="2:21" x14ac:dyDescent="0.3">
      <c r="U2">
        <v>5</v>
      </c>
    </row>
    <row r="3" spans="2:21" x14ac:dyDescent="0.3">
      <c r="R3" cm="1">
        <f t="array" ref="R3:R22">_xlfn.SEQUENCE(20)</f>
        <v>1</v>
      </c>
      <c r="S3" cm="1">
        <f t="array" ref="S3:S22">_xlfn.POISSON.DIST(_xlfn.ANCHORARRAY(R3),U2,FALSE)</f>
        <v>3.368973499542733E-2</v>
      </c>
    </row>
    <row r="4" spans="2:21" x14ac:dyDescent="0.3">
      <c r="R4">
        <v>2</v>
      </c>
      <c r="S4">
        <v>8.4224337488568335E-2</v>
      </c>
    </row>
    <row r="5" spans="2:21" x14ac:dyDescent="0.3">
      <c r="R5">
        <v>3</v>
      </c>
      <c r="S5">
        <v>0.14037389581428059</v>
      </c>
    </row>
    <row r="6" spans="2:21" x14ac:dyDescent="0.3">
      <c r="E6" t="s">
        <v>9</v>
      </c>
      <c r="F6" t="s">
        <v>10</v>
      </c>
      <c r="G6" t="s">
        <v>11</v>
      </c>
      <c r="I6" t="s">
        <v>9</v>
      </c>
      <c r="J6" t="s">
        <v>10</v>
      </c>
      <c r="N6" t="s">
        <v>9</v>
      </c>
      <c r="O6" t="s">
        <v>10</v>
      </c>
      <c r="R6">
        <v>4</v>
      </c>
      <c r="S6">
        <v>0.17546736976785074</v>
      </c>
    </row>
    <row r="7" spans="2:21" x14ac:dyDescent="0.3">
      <c r="B7" t="s">
        <v>0</v>
      </c>
      <c r="E7" t="s">
        <v>1</v>
      </c>
      <c r="F7">
        <v>2772429</v>
      </c>
      <c r="G7">
        <v>2772429</v>
      </c>
      <c r="I7" t="s">
        <v>1</v>
      </c>
      <c r="J7">
        <v>3005301</v>
      </c>
      <c r="N7" t="s">
        <v>1</v>
      </c>
      <c r="O7">
        <v>2877115</v>
      </c>
      <c r="R7">
        <v>5</v>
      </c>
      <c r="S7">
        <v>0.17546736976785071</v>
      </c>
    </row>
    <row r="8" spans="2:21" x14ac:dyDescent="0.3">
      <c r="B8" s="2">
        <v>0.87</v>
      </c>
      <c r="E8" t="s">
        <v>3</v>
      </c>
      <c r="F8">
        <v>2589328</v>
      </c>
      <c r="G8">
        <v>2589328</v>
      </c>
      <c r="I8" t="s">
        <v>3</v>
      </c>
      <c r="J8">
        <v>2968835</v>
      </c>
      <c r="N8" t="s">
        <v>3</v>
      </c>
      <c r="O8">
        <v>2659085</v>
      </c>
      <c r="R8">
        <v>6</v>
      </c>
      <c r="S8">
        <v>0.14622280813987559</v>
      </c>
    </row>
    <row r="9" spans="2:21" x14ac:dyDescent="0.3">
      <c r="B9" s="2">
        <v>0.13</v>
      </c>
      <c r="E9" t="s">
        <v>5</v>
      </c>
      <c r="F9">
        <v>2891348</v>
      </c>
      <c r="G9">
        <v>2891348</v>
      </c>
      <c r="I9" t="s">
        <v>5</v>
      </c>
      <c r="J9">
        <v>2904685</v>
      </c>
      <c r="N9" t="s">
        <v>5</v>
      </c>
      <c r="O9">
        <v>3019335</v>
      </c>
      <c r="R9">
        <v>7</v>
      </c>
      <c r="S9">
        <v>0.104444862957054</v>
      </c>
    </row>
    <row r="10" spans="2:21" x14ac:dyDescent="0.3">
      <c r="E10" t="s">
        <v>6</v>
      </c>
      <c r="F10">
        <v>2690724</v>
      </c>
      <c r="G10">
        <v>2690724</v>
      </c>
      <c r="I10" t="s">
        <v>6</v>
      </c>
      <c r="J10">
        <v>3088606</v>
      </c>
      <c r="N10" t="s">
        <v>6</v>
      </c>
      <c r="O10">
        <v>2614862</v>
      </c>
      <c r="R10">
        <v>8</v>
      </c>
      <c r="S10">
        <v>6.5278039348158706E-2</v>
      </c>
    </row>
    <row r="11" spans="2:21" x14ac:dyDescent="0.3">
      <c r="E11" t="s">
        <v>2</v>
      </c>
      <c r="F11">
        <v>2500500</v>
      </c>
      <c r="G11">
        <v>2500500</v>
      </c>
      <c r="I11" t="s">
        <v>2</v>
      </c>
      <c r="J11">
        <v>2588784</v>
      </c>
      <c r="N11" t="s">
        <v>2</v>
      </c>
      <c r="O11">
        <v>3081532</v>
      </c>
      <c r="R11">
        <v>9</v>
      </c>
      <c r="S11">
        <v>3.6265577415643749E-2</v>
      </c>
    </row>
    <row r="12" spans="2:21" x14ac:dyDescent="0.3">
      <c r="E12" t="s">
        <v>4</v>
      </c>
      <c r="F12">
        <v>2683968</v>
      </c>
      <c r="G12">
        <v>2683968</v>
      </c>
      <c r="I12" t="s">
        <v>4</v>
      </c>
      <c r="J12">
        <v>2633378</v>
      </c>
      <c r="N12" t="s">
        <v>4</v>
      </c>
      <c r="O12">
        <v>2911459</v>
      </c>
      <c r="R12">
        <v>10</v>
      </c>
      <c r="S12">
        <v>1.8132788707821874E-2</v>
      </c>
    </row>
    <row r="13" spans="2:21" x14ac:dyDescent="0.3">
      <c r="E13" t="s">
        <v>7</v>
      </c>
      <c r="F13">
        <v>2851714</v>
      </c>
      <c r="G13">
        <v>2851714</v>
      </c>
      <c r="I13" t="s">
        <v>7</v>
      </c>
      <c r="J13">
        <v>2960098</v>
      </c>
      <c r="N13" t="s">
        <v>7</v>
      </c>
      <c r="O13">
        <v>2902246</v>
      </c>
      <c r="R13">
        <v>11</v>
      </c>
      <c r="S13">
        <v>8.2421766853735742E-3</v>
      </c>
    </row>
    <row r="14" spans="2:21" x14ac:dyDescent="0.3">
      <c r="E14" t="s">
        <v>8</v>
      </c>
      <c r="F14">
        <v>2958990</v>
      </c>
      <c r="G14">
        <v>2958990</v>
      </c>
      <c r="I14" t="s">
        <v>8</v>
      </c>
      <c r="J14">
        <v>2830728</v>
      </c>
      <c r="N14" t="s">
        <v>8</v>
      </c>
      <c r="O14">
        <v>2692181</v>
      </c>
      <c r="R14">
        <v>12</v>
      </c>
      <c r="S14">
        <v>3.4342402855723282E-3</v>
      </c>
    </row>
    <row r="15" spans="2:21" x14ac:dyDescent="0.3">
      <c r="R15">
        <v>13</v>
      </c>
      <c r="S15">
        <v>1.3208616482970471E-3</v>
      </c>
    </row>
    <row r="16" spans="2:21" x14ac:dyDescent="0.3">
      <c r="J16">
        <f>AVERAGE(J7:J14)</f>
        <v>2872551.875</v>
      </c>
      <c r="O16">
        <f>AVERAGE(O7:O14)</f>
        <v>2844726.875</v>
      </c>
      <c r="R16">
        <v>14</v>
      </c>
      <c r="S16">
        <v>4.7173630296323246E-4</v>
      </c>
    </row>
    <row r="17" spans="10:19" x14ac:dyDescent="0.3">
      <c r="J17" t="str">
        <f>"$ " &amp; TEXT(Sheet2!J16 / 1000000, "0.0") &amp; "M"</f>
        <v>$ 2.9M</v>
      </c>
      <c r="O17" t="str">
        <f>"$ " &amp; TEXT(O16 / 1000000, "0.0") &amp; "M"</f>
        <v>$ 2.8M</v>
      </c>
      <c r="R17">
        <v>15</v>
      </c>
      <c r="S17">
        <v>1.5724543432107704E-4</v>
      </c>
    </row>
    <row r="18" spans="10:19" x14ac:dyDescent="0.3">
      <c r="R18">
        <v>16</v>
      </c>
      <c r="S18">
        <v>4.9139198225336609E-5</v>
      </c>
    </row>
    <row r="19" spans="10:19" x14ac:dyDescent="0.3">
      <c r="R19">
        <v>17</v>
      </c>
      <c r="S19">
        <v>1.4452705360393124E-5</v>
      </c>
    </row>
    <row r="20" spans="10:19" x14ac:dyDescent="0.3">
      <c r="R20">
        <v>18</v>
      </c>
      <c r="S20">
        <v>4.0146403778869831E-6</v>
      </c>
    </row>
    <row r="21" spans="10:19" x14ac:dyDescent="0.3">
      <c r="R21">
        <v>19</v>
      </c>
      <c r="S21">
        <v>1.0564843099702586E-6</v>
      </c>
    </row>
    <row r="22" spans="10:19" x14ac:dyDescent="0.3">
      <c r="R22">
        <v>20</v>
      </c>
      <c r="S22">
        <v>2.6412107749256427E-7</v>
      </c>
    </row>
    <row r="24" spans="10:19" x14ac:dyDescent="0.3">
      <c r="S24" t="str">
        <f>"Average: " &amp; TEXT(U2, "0.00")</f>
        <v>Average: 5.00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val</dc:creator>
  <cp:lastModifiedBy>marcos val</cp:lastModifiedBy>
  <dcterms:created xsi:type="dcterms:W3CDTF">2026-05-22T11:27:06Z</dcterms:created>
  <dcterms:modified xsi:type="dcterms:W3CDTF">2026-05-22T23:50:58Z</dcterms:modified>
</cp:coreProperties>
</file>