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Boaty\Proyectos\Plantillas Excel\"/>
    </mc:Choice>
  </mc:AlternateContent>
  <xr:revisionPtr revIDLastSave="0" documentId="8_{56E4E2EC-B600-4BA1-AE26-26921E7DBFCC}" xr6:coauthVersionLast="47" xr6:coauthVersionMax="47" xr10:uidLastSave="{00000000-0000-0000-0000-000000000000}"/>
  <bookViews>
    <workbookView xWindow="-108" yWindow="-108" windowWidth="23256" windowHeight="13176" xr2:uid="{336A8557-E8EC-42F0-A92D-B3F48B61175D}"/>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 i="2" l="1"/>
  <c r="K6" i="2"/>
  <c r="K7" i="2"/>
  <c r="K8" i="2"/>
  <c r="E3" i="2" a="1"/>
  <c r="E3" i="2" s="1"/>
  <c r="B4" i="2"/>
  <c r="B5" i="2"/>
  <c r="B6" i="2"/>
  <c r="B7" i="2"/>
  <c r="B8" i="2"/>
  <c r="B9" i="2"/>
  <c r="B10" i="2"/>
  <c r="B11" i="2"/>
  <c r="B12" i="2"/>
  <c r="B13" i="2"/>
  <c r="B14" i="2"/>
  <c r="B15" i="2"/>
  <c r="B16" i="2"/>
  <c r="B17" i="2"/>
  <c r="B18" i="2"/>
  <c r="B19" i="2"/>
  <c r="B20" i="2"/>
  <c r="B21" i="2"/>
  <c r="B22" i="2"/>
  <c r="B23" i="2"/>
  <c r="B24" i="2"/>
  <c r="B25" i="2"/>
  <c r="B26" i="2"/>
  <c r="B3"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<sst xmlns="http://schemas.openxmlformats.org/spreadsheetml/2006/main" count="29" uniqueCount="18">
  <si>
    <t>Date</t>
  </si>
  <si>
    <t>Value</t>
  </si>
  <si>
    <t>Jan</t>
  </si>
  <si>
    <t>Feb</t>
  </si>
  <si>
    <t>Mar</t>
  </si>
  <si>
    <t>Abr</t>
  </si>
  <si>
    <t>May</t>
  </si>
  <si>
    <t>Jun</t>
  </si>
  <si>
    <t>Jul</t>
  </si>
  <si>
    <t>Ago</t>
  </si>
  <si>
    <t>Sep</t>
  </si>
  <si>
    <t>Oct</t>
  </si>
  <si>
    <t>Nov</t>
  </si>
  <si>
    <t>Dic</t>
  </si>
  <si>
    <t>Ene</t>
  </si>
  <si>
    <t>Category</t>
  </si>
  <si>
    <t>Category final</t>
  </si>
  <si>
    <t>Main Metric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</si>
</sst>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sz val="8"/>
      <name val="Aptos Narrow"/>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colors>
    <mruColors>
      <color rgb="FFF5D5E0"/>
      <color rgb="FF210535"/>
      <color rgb="FFBD61BF"/>
      <color rgb="FFAA46AC"/>
      <color rgb="FF7B337D"/>
      <color rgb="FF6768AB"/>
      <color rgb="FF545696"/>
      <color rgb="FF595BA1"/>
      <color rgb="FF430D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32256858203818"/>
          <c:y val="3.4552851058327103E-2"/>
          <c:w val="0.64906887579925254"/>
          <c:h val="0.95528454568922372"/>
        </c:manualLayout>
      </c:layout>
      <c:doughnutChart>
        <c:varyColors val="1"/>
        <c:ser>
          <c:idx val="0"/>
          <c:order val="0"/>
          <c:dPt>
            <c:idx val="0"/>
            <c:bubble3D val="0"/>
            <c:spPr>
              <a:gradFill>
                <a:gsLst>
                  <a:gs pos="0">
                    <a:srgbClr val="430D4B"/>
                  </a:gs>
                  <a:gs pos="75000">
                    <a:srgbClr val="7B337D"/>
                  </a:gs>
                  <a:gs pos="100000">
                    <a:schemeClr val="accent1">
                      <a:lumMod val="30000"/>
                      <a:lumOff val="70000"/>
                    </a:schemeClr>
                  </a:gs>
                </a:gsLst>
                <a:lin ang="10800000" scaled="0"/>
              </a:gradFill>
              <a:ln w="19050">
                <a:solidFill>
                  <a:schemeClr val="lt1"/>
                </a:solidFill>
              </a:ln>
              <a:effectLst/>
            </c:spPr>
            <c:extLst>
              <c:ext xmlns:c16="http://schemas.microsoft.com/office/drawing/2014/chart" uri="{C3380CC4-5D6E-409C-BE32-E72D297353CC}">
                <c16:uniqueId val="{00000001-5624-473A-B92F-776AED987FAB}"/>
              </c:ext>
            </c:extLst>
          </c:dPt>
          <c:dPt>
            <c:idx val="1"/>
            <c:bubble3D val="0"/>
            <c:spPr>
              <a:noFill/>
              <a:ln w="19050">
                <a:solidFill>
                  <a:srgbClr val="F5D5E0"/>
                </a:solidFill>
              </a:ln>
              <a:effectLst/>
            </c:spPr>
            <c:extLst>
              <c:ext xmlns:c16="http://schemas.microsoft.com/office/drawing/2014/chart" uri="{C3380CC4-5D6E-409C-BE32-E72D297353CC}">
                <c16:uniqueId val="{00000003-5624-473A-B92F-776AED987FAB}"/>
              </c:ext>
            </c:extLst>
          </c:dPt>
          <c:dPt>
            <c:idx val="2"/>
            <c:bubble3D val="0"/>
            <c:spPr>
              <a:noFill/>
              <a:ln w="19050">
                <a:noFill/>
              </a:ln>
              <a:effectLst/>
            </c:spPr>
            <c:extLst>
              <c:ext xmlns:c16="http://schemas.microsoft.com/office/drawing/2014/chart" uri="{C3380CC4-5D6E-409C-BE32-E72D297353CC}">
                <c16:uniqueId val="{00000005-5624-473A-B92F-776AED987FAB}"/>
              </c:ext>
            </c:extLst>
          </c:dPt>
          <c:val>
            <c:numRef>
              <c:f>Sheet2!$J$6:$L$6</c:f>
              <c:numCache>
                <c:formatCode>General</c:formatCode>
                <c:ptCount val="3"/>
                <c:pt idx="0">
                  <c:v>0.3</c:v>
                </c:pt>
                <c:pt idx="1">
                  <c:v>0.7</c:v>
                </c:pt>
                <c:pt idx="2">
                  <c:v>1</c:v>
                </c:pt>
              </c:numCache>
            </c:numRef>
          </c:val>
          <c:extLst>
            <c:ext xmlns:c16="http://schemas.microsoft.com/office/drawing/2014/chart" uri="{C3380CC4-5D6E-409C-BE32-E72D297353CC}">
              <c16:uniqueId val="{00000006-5624-473A-B92F-776AED987FAB}"/>
            </c:ext>
          </c:extLst>
        </c:ser>
        <c:ser>
          <c:idx val="1"/>
          <c:order val="1"/>
          <c:dPt>
            <c:idx val="0"/>
            <c:bubble3D val="0"/>
            <c:spPr>
              <a:gradFill>
                <a:gsLst>
                  <a:gs pos="0">
                    <a:srgbClr val="430D4B"/>
                  </a:gs>
                  <a:gs pos="75000">
                    <a:srgbClr val="7B337D"/>
                  </a:gs>
                  <a:gs pos="100000">
                    <a:schemeClr val="accent1">
                      <a:lumMod val="30000"/>
                      <a:lumOff val="70000"/>
                    </a:schemeClr>
                  </a:gs>
                </a:gsLst>
                <a:lin ang="10800000" scaled="0"/>
              </a:gradFill>
              <a:ln w="19050">
                <a:solidFill>
                  <a:schemeClr val="lt1"/>
                </a:solidFill>
              </a:ln>
              <a:effectLst/>
            </c:spPr>
            <c:extLst>
              <c:ext xmlns:c16="http://schemas.microsoft.com/office/drawing/2014/chart" uri="{C3380CC4-5D6E-409C-BE32-E72D297353CC}">
                <c16:uniqueId val="{00000008-5624-473A-B92F-776AED987FAB}"/>
              </c:ext>
            </c:extLst>
          </c:dPt>
          <c:dPt>
            <c:idx val="1"/>
            <c:bubble3D val="0"/>
            <c:spPr>
              <a:noFill/>
              <a:ln w="19050">
                <a:solidFill>
                  <a:srgbClr val="F5D5E0"/>
                </a:solidFill>
              </a:ln>
              <a:effectLst/>
            </c:spPr>
            <c:extLst>
              <c:ext xmlns:c16="http://schemas.microsoft.com/office/drawing/2014/chart" uri="{C3380CC4-5D6E-409C-BE32-E72D297353CC}">
                <c16:uniqueId val="{0000000A-5624-473A-B92F-776AED987FAB}"/>
              </c:ext>
            </c:extLst>
          </c:dPt>
          <c:dPt>
            <c:idx val="2"/>
            <c:bubble3D val="0"/>
            <c:spPr>
              <a:noFill/>
              <a:ln w="19050">
                <a:noFill/>
              </a:ln>
              <a:effectLst/>
            </c:spPr>
            <c:extLst>
              <c:ext xmlns:c16="http://schemas.microsoft.com/office/drawing/2014/chart" uri="{C3380CC4-5D6E-409C-BE32-E72D297353CC}">
                <c16:uniqueId val="{0000000C-5624-473A-B92F-776AED987FAB}"/>
              </c:ext>
            </c:extLst>
          </c:dPt>
          <c:val>
            <c:numRef>
              <c:f>Sheet2!$J$7:$L$7</c:f>
              <c:numCache>
                <c:formatCode>General</c:formatCode>
                <c:ptCount val="3"/>
                <c:pt idx="0">
                  <c:v>0.47</c:v>
                </c:pt>
                <c:pt idx="1">
                  <c:v>0.53</c:v>
                </c:pt>
                <c:pt idx="2">
                  <c:v>1</c:v>
                </c:pt>
              </c:numCache>
            </c:numRef>
          </c:val>
          <c:extLst>
            <c:ext xmlns:c16="http://schemas.microsoft.com/office/drawing/2014/chart" uri="{C3380CC4-5D6E-409C-BE32-E72D297353CC}">
              <c16:uniqueId val="{0000000D-5624-473A-B92F-776AED987FAB}"/>
            </c:ext>
          </c:extLst>
        </c:ser>
        <c:ser>
          <c:idx val="2"/>
          <c:order val="2"/>
          <c:dPt>
            <c:idx val="0"/>
            <c:bubble3D val="0"/>
            <c:spPr>
              <a:gradFill>
                <a:gsLst>
                  <a:gs pos="0">
                    <a:srgbClr val="430D4B"/>
                  </a:gs>
                  <a:gs pos="75000">
                    <a:srgbClr val="7B337D"/>
                  </a:gs>
                  <a:gs pos="100000">
                    <a:schemeClr val="accent1">
                      <a:lumMod val="30000"/>
                      <a:lumOff val="70000"/>
                    </a:schemeClr>
                  </a:gs>
                </a:gsLst>
                <a:lin ang="10800000" scaled="0"/>
              </a:gradFill>
              <a:ln w="19050">
                <a:solidFill>
                  <a:schemeClr val="lt1"/>
                </a:solidFill>
              </a:ln>
              <a:effectLst/>
            </c:spPr>
            <c:extLst>
              <c:ext xmlns:c16="http://schemas.microsoft.com/office/drawing/2014/chart" uri="{C3380CC4-5D6E-409C-BE32-E72D297353CC}">
                <c16:uniqueId val="{0000000F-5624-473A-B92F-776AED987FAB}"/>
              </c:ext>
            </c:extLst>
          </c:dPt>
          <c:dPt>
            <c:idx val="1"/>
            <c:bubble3D val="0"/>
            <c:spPr>
              <a:noFill/>
              <a:ln w="19050">
                <a:solidFill>
                  <a:schemeClr val="lt1"/>
                </a:solidFill>
              </a:ln>
              <a:effectLst/>
            </c:spPr>
            <c:extLst>
              <c:ext xmlns:c16="http://schemas.microsoft.com/office/drawing/2014/chart" uri="{C3380CC4-5D6E-409C-BE32-E72D297353CC}">
                <c16:uniqueId val="{00000011-5624-473A-B92F-776AED987FAB}"/>
              </c:ext>
            </c:extLst>
          </c:dPt>
          <c:dPt>
            <c:idx val="2"/>
            <c:bubble3D val="0"/>
            <c:spPr>
              <a:noFill/>
              <a:ln w="19050">
                <a:noFill/>
              </a:ln>
              <a:effectLst/>
            </c:spPr>
            <c:extLst>
              <c:ext xmlns:c16="http://schemas.microsoft.com/office/drawing/2014/chart" uri="{C3380CC4-5D6E-409C-BE32-E72D297353CC}">
                <c16:uniqueId val="{00000013-5624-473A-B92F-776AED987FAB}"/>
              </c:ext>
            </c:extLst>
          </c:dPt>
          <c:val>
            <c:numRef>
              <c:f>Sheet2!$J$8:$L$8</c:f>
              <c:numCache>
                <c:formatCode>General</c:formatCode>
                <c:ptCount val="3"/>
                <c:pt idx="0">
                  <c:v>0.86</c:v>
                </c:pt>
                <c:pt idx="1">
                  <c:v>0.14000000000000001</c:v>
                </c:pt>
                <c:pt idx="2">
                  <c:v>1</c:v>
                </c:pt>
              </c:numCache>
            </c:numRef>
          </c:val>
          <c:extLst>
            <c:ext xmlns:c16="http://schemas.microsoft.com/office/drawing/2014/chart" uri="{C3380CC4-5D6E-409C-BE32-E72D297353CC}">
              <c16:uniqueId val="{00000014-5624-473A-B92F-776AED987FAB}"/>
            </c:ext>
          </c:extLst>
        </c:ser>
        <c:dLbls>
          <c:showLegendKey val="0"/>
          <c:showVal val="0"/>
          <c:showCatName val="0"/>
          <c:showSerName val="0"/>
          <c:showPercent val="0"/>
          <c:showBubbleSize val="0"/>
          <c:showLeaderLines val="1"/>
        </c:dLbls>
        <c:firstSliceAng val="270"/>
        <c:holeSize val="54"/>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333333333333333E-2"/>
          <c:y val="3.7037037037037035E-2"/>
          <c:w val="0.93888888888888888"/>
          <c:h val="0.89814814814814814"/>
        </c:manualLayout>
      </c:layout>
      <c:lineChart>
        <c:grouping val="standard"/>
        <c:varyColors val="0"/>
        <c:ser>
          <c:idx val="0"/>
          <c:order val="0"/>
          <c:spPr>
            <a:ln w="28575" cap="rnd">
              <a:solidFill>
                <a:srgbClr val="F5D5E0"/>
              </a:solidFill>
              <a:round/>
            </a:ln>
            <a:effectLst>
              <a:outerShdw blurRad="50800" dist="38100" dir="5400000" sx="102000" sy="102000" algn="ctr" rotWithShape="0">
                <a:srgbClr val="000000">
                  <a:alpha val="29000"/>
                </a:srgbClr>
              </a:outerShdw>
            </a:effectLst>
          </c:spPr>
          <c:marker>
            <c:symbol val="none"/>
          </c:marker>
          <c:cat>
            <c:strRef>
              <c:f>Sheet2!$B$3:$B$26</c:f>
              <c:strCache>
                <c:ptCount val="24"/>
                <c:pt idx="0">
                  <c:v>Jan 2024</c:v>
                </c:pt>
                <c:pt idx="1">
                  <c:v>Feb 2024</c:v>
                </c:pt>
                <c:pt idx="2">
                  <c:v>Mar 2024</c:v>
                </c:pt>
                <c:pt idx="3">
                  <c:v>Abr 2024</c:v>
                </c:pt>
                <c:pt idx="4">
                  <c:v>May 2024</c:v>
                </c:pt>
                <c:pt idx="5">
                  <c:v>Jun 2024</c:v>
                </c:pt>
                <c:pt idx="6">
                  <c:v>Jul 2024</c:v>
                </c:pt>
                <c:pt idx="7">
                  <c:v>Ago 2024</c:v>
                </c:pt>
                <c:pt idx="8">
                  <c:v>Sep 2024</c:v>
                </c:pt>
                <c:pt idx="9">
                  <c:v>Oct 2024</c:v>
                </c:pt>
                <c:pt idx="10">
                  <c:v>Nov 2024</c:v>
                </c:pt>
                <c:pt idx="11">
                  <c:v>Dic 2024</c:v>
                </c:pt>
                <c:pt idx="12">
                  <c:v>Ene 2025</c:v>
                </c:pt>
                <c:pt idx="13">
                  <c:v>Feb 2025</c:v>
                </c:pt>
                <c:pt idx="14">
                  <c:v>Mar 2025</c:v>
                </c:pt>
                <c:pt idx="15">
                  <c:v>Abr 2025</c:v>
                </c:pt>
                <c:pt idx="16">
                  <c:v>May 2025</c:v>
                </c:pt>
                <c:pt idx="17">
                  <c:v>Jun 2025</c:v>
                </c:pt>
                <c:pt idx="18">
                  <c:v>Jul 2025</c:v>
                </c:pt>
                <c:pt idx="19">
                  <c:v>Ago 2025</c:v>
                </c:pt>
                <c:pt idx="20">
                  <c:v>Sep 2025</c:v>
                </c:pt>
                <c:pt idx="21">
                  <c:v>Oct 2025</c:v>
                </c:pt>
                <c:pt idx="22">
                  <c:v>Nov 2025</c:v>
                </c:pt>
                <c:pt idx="23">
                  <c:v>Dic 2025</c:v>
                </c:pt>
              </c:strCache>
            </c:strRef>
          </c:cat>
          <c:val>
            <c:numRef>
              <c:f>Sheet2!$E$3:$E$26</c:f>
              <c:numCache>
                <c:formatCode>General</c:formatCode>
                <c:ptCount val="24"/>
                <c:pt idx="0">
                  <c:v>12817</c:v>
                </c:pt>
                <c:pt idx="1">
                  <c:v>23860</c:v>
                </c:pt>
                <c:pt idx="2">
                  <c:v>13796</c:v>
                </c:pt>
                <c:pt idx="3">
                  <c:v>24065</c:v>
                </c:pt>
                <c:pt idx="4">
                  <c:v>3012</c:v>
                </c:pt>
                <c:pt idx="5">
                  <c:v>19515</c:v>
                </c:pt>
                <c:pt idx="6">
                  <c:v>20597</c:v>
                </c:pt>
                <c:pt idx="7">
                  <c:v>445</c:v>
                </c:pt>
                <c:pt idx="8">
                  <c:v>19956</c:v>
                </c:pt>
                <c:pt idx="9">
                  <c:v>22975</c:v>
                </c:pt>
                <c:pt idx="10">
                  <c:v>16958</c:v>
                </c:pt>
                <c:pt idx="11">
                  <c:v>3181</c:v>
                </c:pt>
                <c:pt idx="12">
                  <c:v>3662</c:v>
                </c:pt>
                <c:pt idx="13">
                  <c:v>2264</c:v>
                </c:pt>
                <c:pt idx="14">
                  <c:v>20773</c:v>
                </c:pt>
                <c:pt idx="15">
                  <c:v>6413</c:v>
                </c:pt>
                <c:pt idx="16">
                  <c:v>276</c:v>
                </c:pt>
                <c:pt idx="17">
                  <c:v>9826</c:v>
                </c:pt>
                <c:pt idx="18">
                  <c:v>794</c:v>
                </c:pt>
                <c:pt idx="19">
                  <c:v>14780</c:v>
                </c:pt>
                <c:pt idx="20">
                  <c:v>5867</c:v>
                </c:pt>
                <c:pt idx="21">
                  <c:v>20392</c:v>
                </c:pt>
                <c:pt idx="22">
                  <c:v>16871</c:v>
                </c:pt>
                <c:pt idx="23">
                  <c:v>3689</c:v>
                </c:pt>
              </c:numCache>
            </c:numRef>
          </c:val>
          <c:smooth val="0"/>
          <c:extLst>
            <c:ext xmlns:c16="http://schemas.microsoft.com/office/drawing/2014/chart" uri="{C3380CC4-5D6E-409C-BE32-E72D297353CC}">
              <c16:uniqueId val="{00000000-AF90-4127-AEBE-02758E8670F5}"/>
            </c:ext>
          </c:extLst>
        </c:ser>
        <c:dLbls>
          <c:showLegendKey val="0"/>
          <c:showVal val="0"/>
          <c:showCatName val="0"/>
          <c:showSerName val="0"/>
          <c:showPercent val="0"/>
          <c:showBubbleSize val="0"/>
        </c:dLbls>
        <c:smooth val="0"/>
        <c:axId val="1578484912"/>
        <c:axId val="1578492112"/>
      </c:lineChart>
      <c:catAx>
        <c:axId val="1578484912"/>
        <c:scaling>
          <c:orientation val="minMax"/>
        </c:scaling>
        <c:delete val="1"/>
        <c:axPos val="b"/>
        <c:numFmt formatCode="General" sourceLinked="1"/>
        <c:majorTickMark val="none"/>
        <c:minorTickMark val="none"/>
        <c:tickLblPos val="nextTo"/>
        <c:crossAx val="1578492112"/>
        <c:crosses val="autoZero"/>
        <c:auto val="1"/>
        <c:lblAlgn val="ctr"/>
        <c:lblOffset val="100"/>
        <c:noMultiLvlLbl val="0"/>
      </c:catAx>
      <c:valAx>
        <c:axId val="1578492112"/>
        <c:scaling>
          <c:orientation val="minMax"/>
        </c:scaling>
        <c:delete val="1"/>
        <c:axPos val="l"/>
        <c:numFmt formatCode="General" sourceLinked="1"/>
        <c:majorTickMark val="none"/>
        <c:minorTickMark val="none"/>
        <c:tickLblPos val="nextTo"/>
        <c:crossAx val="1578484912"/>
        <c:crosses val="autoZero"/>
        <c:crossBetween val="between"/>
      </c:valAx>
      <c:spPr>
        <a:noFill/>
        <a:ln>
          <a:noFill/>
        </a:ln>
        <a:effectLst>
          <a:outerShdw blurRad="50800" dist="50800" dir="5400000" sx="1000" sy="1000" algn="ctr" rotWithShape="0">
            <a:srgbClr val="000000">
              <a:alpha val="43137"/>
            </a:srgb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557348</xdr:colOff>
      <xdr:row>0</xdr:row>
      <xdr:rowOff>144780</xdr:rowOff>
    </xdr:from>
    <xdr:to>
      <xdr:col>20</xdr:col>
      <xdr:colOff>30676</xdr:colOff>
      <xdr:row>37</xdr:row>
      <xdr:rowOff>63817</xdr:rowOff>
    </xdr:to>
    <xdr:sp macro="" textlink="">
      <xdr:nvSpPr>
        <xdr:cNvPr id="3" name="Rectangle: Rounded Corners 2">
          <a:extLst>
            <a:ext uri="{FF2B5EF4-FFF2-40B4-BE49-F238E27FC236}">
              <a16:creationId xmlns:a16="http://schemas.microsoft.com/office/drawing/2014/main" id="{15955EA5-652A-4AD5-B18E-FF2C7FA68EAF}"/>
            </a:ext>
          </a:extLst>
        </xdr:cNvPr>
        <xdr:cNvSpPr/>
      </xdr:nvSpPr>
      <xdr:spPr>
        <a:xfrm>
          <a:off x="2995748" y="144780"/>
          <a:ext cx="9226928" cy="6766151"/>
        </a:xfrm>
        <a:prstGeom prst="roundRect">
          <a:avLst>
            <a:gd name="adj" fmla="val 7364"/>
          </a:avLst>
        </a:prstGeom>
        <a:ln>
          <a:noFill/>
        </a:ln>
        <a:effectLst>
          <a:outerShdw blurRad="482600" dist="101600" dir="3000000" algn="ctr" rotWithShape="0">
            <a:schemeClr val="tx1">
              <a:lumMod val="95000"/>
              <a:lumOff val="5000"/>
              <a:alpha val="15000"/>
            </a:schemeClr>
          </a:outerShdw>
          <a:softEdge rad="3302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5</xdr:col>
      <xdr:colOff>350519</xdr:colOff>
      <xdr:row>2</xdr:row>
      <xdr:rowOff>144780</xdr:rowOff>
    </xdr:from>
    <xdr:to>
      <xdr:col>20</xdr:col>
      <xdr:colOff>60289</xdr:colOff>
      <xdr:row>37</xdr:row>
      <xdr:rowOff>152399</xdr:rowOff>
    </xdr:to>
    <xdr:sp macro="" textlink="">
      <xdr:nvSpPr>
        <xdr:cNvPr id="2" name="Rectangle: Rounded Corners 1">
          <a:extLst>
            <a:ext uri="{FF2B5EF4-FFF2-40B4-BE49-F238E27FC236}">
              <a16:creationId xmlns:a16="http://schemas.microsoft.com/office/drawing/2014/main" id="{5C188DB3-3FAE-EB74-09E9-BF621F855AA5}"/>
            </a:ext>
          </a:extLst>
        </xdr:cNvPr>
        <xdr:cNvSpPr/>
      </xdr:nvSpPr>
      <xdr:spPr>
        <a:xfrm>
          <a:off x="3398519" y="514894"/>
          <a:ext cx="8853770" cy="6484619"/>
        </a:xfrm>
        <a:prstGeom prst="roundRect">
          <a:avLst>
            <a:gd name="adj" fmla="val 7364"/>
          </a:avLst>
        </a:prstGeom>
        <a:solidFill>
          <a:srgbClr val="210535"/>
        </a:solidFill>
        <a:ln>
          <a:noFill/>
        </a:ln>
        <a:effectLst>
          <a:outerShdw blurRad="482600" dist="101600" dir="3000000" algn="ctr" rotWithShape="0">
            <a:schemeClr val="tx1">
              <a:lumMod val="95000"/>
              <a:lumOff val="5000"/>
              <a:alpha val="15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6</xdr:col>
      <xdr:colOff>13063</xdr:colOff>
      <xdr:row>3</xdr:row>
      <xdr:rowOff>25038</xdr:rowOff>
    </xdr:from>
    <xdr:to>
      <xdr:col>11</xdr:col>
      <xdr:colOff>258795</xdr:colOff>
      <xdr:row>19</xdr:row>
      <xdr:rowOff>32657</xdr:rowOff>
    </xdr:to>
    <xdr:sp macro="" textlink="">
      <xdr:nvSpPr>
        <xdr:cNvPr id="4" name="Rectangle: Rounded Corners 3">
          <a:extLst>
            <a:ext uri="{FF2B5EF4-FFF2-40B4-BE49-F238E27FC236}">
              <a16:creationId xmlns:a16="http://schemas.microsoft.com/office/drawing/2014/main" id="{2E66C454-1D7D-4A79-8F08-6D4188DC8EE9}"/>
            </a:ext>
          </a:extLst>
        </xdr:cNvPr>
        <xdr:cNvSpPr/>
      </xdr:nvSpPr>
      <xdr:spPr>
        <a:xfrm>
          <a:off x="3670663" y="580209"/>
          <a:ext cx="3293732" cy="2968534"/>
        </a:xfrm>
        <a:prstGeom prst="roundRect">
          <a:avLst>
            <a:gd name="adj" fmla="val 7364"/>
          </a:avLst>
        </a:prstGeom>
        <a:solidFill>
          <a:srgbClr val="F5D5E0"/>
        </a:solidFill>
        <a:ln>
          <a:noFill/>
        </a:ln>
        <a:effectLst>
          <a:outerShdw blurRad="482600" dist="101600" dir="3000000" algn="ctr" rotWithShape="0">
            <a:schemeClr val="tx1">
              <a:lumMod val="95000"/>
              <a:lumOff val="5000"/>
              <a:alpha val="10000"/>
            </a:schemeClr>
          </a:outerShdw>
          <a:softEdge rad="3302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3</xdr:col>
      <xdr:colOff>372293</xdr:colOff>
      <xdr:row>17</xdr:row>
      <xdr:rowOff>163286</xdr:rowOff>
    </xdr:from>
    <xdr:to>
      <xdr:col>18</xdr:col>
      <xdr:colOff>381000</xdr:colOff>
      <xdr:row>56</xdr:row>
      <xdr:rowOff>108856</xdr:rowOff>
    </xdr:to>
    <xdr:graphicFrame macro="">
      <xdr:nvGraphicFramePr>
        <xdr:cNvPr id="19" name="Chart 18">
          <a:extLst>
            <a:ext uri="{FF2B5EF4-FFF2-40B4-BE49-F238E27FC236}">
              <a16:creationId xmlns:a16="http://schemas.microsoft.com/office/drawing/2014/main" id="{8594C906-1D45-4AC9-B506-7C8F8B435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252549</xdr:colOff>
      <xdr:row>5</xdr:row>
      <xdr:rowOff>65315</xdr:rowOff>
    </xdr:from>
    <xdr:to>
      <xdr:col>10</xdr:col>
      <xdr:colOff>555171</xdr:colOff>
      <xdr:row>18</xdr:row>
      <xdr:rowOff>10736</xdr:rowOff>
    </xdr:to>
    <xdr:sp macro="" textlink="">
      <xdr:nvSpPr>
        <xdr:cNvPr id="5" name="Rectangle: Rounded Corners 4">
          <a:extLst>
            <a:ext uri="{FF2B5EF4-FFF2-40B4-BE49-F238E27FC236}">
              <a16:creationId xmlns:a16="http://schemas.microsoft.com/office/drawing/2014/main" id="{C967B3F9-0590-440E-AF4A-991DD0284ACD}"/>
            </a:ext>
          </a:extLst>
        </xdr:cNvPr>
        <xdr:cNvSpPr/>
      </xdr:nvSpPr>
      <xdr:spPr>
        <a:xfrm>
          <a:off x="3910149" y="990601"/>
          <a:ext cx="2741022" cy="2351164"/>
        </a:xfrm>
        <a:prstGeom prst="roundRect">
          <a:avLst>
            <a:gd name="adj" fmla="val 7364"/>
          </a:avLst>
        </a:prstGeom>
        <a:solidFill>
          <a:srgbClr val="210535"/>
        </a:solidFill>
        <a:ln>
          <a:noFill/>
        </a:ln>
        <a:effectLst>
          <a:outerShdw blurRad="482600" dist="101600" dir="3000000" algn="ctr" rotWithShape="0">
            <a:schemeClr val="tx1">
              <a:lumMod val="95000"/>
              <a:lumOff val="5000"/>
              <a:alpha val="38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15</xdr:col>
      <xdr:colOff>163286</xdr:colOff>
      <xdr:row>15</xdr:row>
      <xdr:rowOff>112124</xdr:rowOff>
    </xdr:from>
    <xdr:to>
      <xdr:col>19</xdr:col>
      <xdr:colOff>525115</xdr:colOff>
      <xdr:row>37</xdr:row>
      <xdr:rowOff>54429</xdr:rowOff>
    </xdr:to>
    <xdr:sp macro="" textlink="">
      <xdr:nvSpPr>
        <xdr:cNvPr id="6" name="Rectangle: Rounded Corners 5">
          <a:extLst>
            <a:ext uri="{FF2B5EF4-FFF2-40B4-BE49-F238E27FC236}">
              <a16:creationId xmlns:a16="http://schemas.microsoft.com/office/drawing/2014/main" id="{03D7C169-EA83-45EC-A3C6-477872D0CED5}"/>
            </a:ext>
          </a:extLst>
        </xdr:cNvPr>
        <xdr:cNvSpPr/>
      </xdr:nvSpPr>
      <xdr:spPr>
        <a:xfrm>
          <a:off x="9307286" y="2887981"/>
          <a:ext cx="2800229" cy="4013562"/>
        </a:xfrm>
        <a:prstGeom prst="roundRect">
          <a:avLst>
            <a:gd name="adj" fmla="val 7364"/>
          </a:avLst>
        </a:prstGeom>
        <a:solidFill>
          <a:srgbClr val="F5D5E0"/>
        </a:solidFill>
        <a:ln>
          <a:noFill/>
        </a:ln>
        <a:effectLst>
          <a:outerShdw blurRad="482600" dist="101600" dir="3000000" algn="ctr" rotWithShape="0">
            <a:schemeClr val="tx1">
              <a:lumMod val="95000"/>
              <a:lumOff val="5000"/>
              <a:alpha val="10000"/>
            </a:schemeClr>
          </a:outerShdw>
          <a:softEdge rad="3302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15</xdr:col>
      <xdr:colOff>483455</xdr:colOff>
      <xdr:row>18</xdr:row>
      <xdr:rowOff>35921</xdr:rowOff>
    </xdr:from>
    <xdr:to>
      <xdr:col>19</xdr:col>
      <xdr:colOff>65314</xdr:colOff>
      <xdr:row>35</xdr:row>
      <xdr:rowOff>163285</xdr:rowOff>
    </xdr:to>
    <xdr:sp macro="" textlink="">
      <xdr:nvSpPr>
        <xdr:cNvPr id="7" name="Rectangle: Rounded Corners 6">
          <a:extLst>
            <a:ext uri="{FF2B5EF4-FFF2-40B4-BE49-F238E27FC236}">
              <a16:creationId xmlns:a16="http://schemas.microsoft.com/office/drawing/2014/main" id="{92052DF3-D654-4679-91B2-8ADF0EF22E96}"/>
            </a:ext>
          </a:extLst>
        </xdr:cNvPr>
        <xdr:cNvSpPr/>
      </xdr:nvSpPr>
      <xdr:spPr>
        <a:xfrm>
          <a:off x="9627455" y="3366950"/>
          <a:ext cx="2020259" cy="3273335"/>
        </a:xfrm>
        <a:prstGeom prst="roundRect">
          <a:avLst>
            <a:gd name="adj" fmla="val 7364"/>
          </a:avLst>
        </a:prstGeom>
        <a:solidFill>
          <a:srgbClr val="210535"/>
        </a:solidFill>
        <a:ln>
          <a:noFill/>
        </a:ln>
        <a:effectLst>
          <a:outerShdw blurRad="482600" dist="101600" dir="3000000" algn="ctr" rotWithShape="0">
            <a:schemeClr val="tx1">
              <a:lumMod val="95000"/>
              <a:lumOff val="5000"/>
              <a:alpha val="38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15</xdr:col>
      <xdr:colOff>566057</xdr:colOff>
      <xdr:row>18</xdr:row>
      <xdr:rowOff>97971</xdr:rowOff>
    </xdr:from>
    <xdr:to>
      <xdr:col>19</xdr:col>
      <xdr:colOff>43543</xdr:colOff>
      <xdr:row>21</xdr:row>
      <xdr:rowOff>21771</xdr:rowOff>
    </xdr:to>
    <xdr:sp macro="" textlink="">
      <xdr:nvSpPr>
        <xdr:cNvPr id="8" name="TextBox 7">
          <a:extLst>
            <a:ext uri="{FF2B5EF4-FFF2-40B4-BE49-F238E27FC236}">
              <a16:creationId xmlns:a16="http://schemas.microsoft.com/office/drawing/2014/main" id="{84782CC3-8243-E139-EDEE-000020C4B96D}"/>
            </a:ext>
          </a:extLst>
        </xdr:cNvPr>
        <xdr:cNvSpPr txBox="1"/>
      </xdr:nvSpPr>
      <xdr:spPr>
        <a:xfrm>
          <a:off x="9710057" y="3429000"/>
          <a:ext cx="1915886" cy="478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2000" b="1">
              <a:solidFill>
                <a:srgbClr val="7B337D"/>
              </a:solidFill>
              <a:latin typeface="Arial Unicode MS" panose="020B0604020202020204" pitchFamily="34" charset="-128"/>
              <a:ea typeface="Arial Unicode MS" panose="020B0604020202020204" pitchFamily="34" charset="-128"/>
              <a:cs typeface="Arial Unicode MS" panose="020B0604020202020204" pitchFamily="34" charset="-128"/>
            </a:rPr>
            <a:t>Category 1</a:t>
          </a:r>
        </a:p>
      </xdr:txBody>
    </xdr:sp>
    <xdr:clientData/>
  </xdr:twoCellAnchor>
  <xdr:twoCellAnchor>
    <xdr:from>
      <xdr:col>15</xdr:col>
      <xdr:colOff>566057</xdr:colOff>
      <xdr:row>23</xdr:row>
      <xdr:rowOff>65315</xdr:rowOff>
    </xdr:from>
    <xdr:to>
      <xdr:col>19</xdr:col>
      <xdr:colOff>43543</xdr:colOff>
      <xdr:row>25</xdr:row>
      <xdr:rowOff>174171</xdr:rowOff>
    </xdr:to>
    <xdr:sp macro="" textlink="">
      <xdr:nvSpPr>
        <xdr:cNvPr id="9" name="TextBox 8">
          <a:extLst>
            <a:ext uri="{FF2B5EF4-FFF2-40B4-BE49-F238E27FC236}">
              <a16:creationId xmlns:a16="http://schemas.microsoft.com/office/drawing/2014/main" id="{75368EA3-40F4-45E7-97F0-EA62591D0CA4}"/>
            </a:ext>
          </a:extLst>
        </xdr:cNvPr>
        <xdr:cNvSpPr txBox="1"/>
      </xdr:nvSpPr>
      <xdr:spPr>
        <a:xfrm>
          <a:off x="9710057" y="4321629"/>
          <a:ext cx="1915886" cy="478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s-ES" sz="2000" b="1">
              <a:solidFill>
                <a:srgbClr val="7B337D"/>
              </a:solidFill>
              <a:latin typeface="Arial Unicode MS" panose="020B0604020202020204" pitchFamily="34" charset="-128"/>
              <a:ea typeface="Arial Unicode MS" panose="020B0604020202020204" pitchFamily="34" charset="-128"/>
              <a:cs typeface="Arial Unicode MS" panose="020B0604020202020204" pitchFamily="34" charset="-128"/>
            </a:rPr>
            <a:t>Category 2</a:t>
          </a:r>
        </a:p>
      </xdr:txBody>
    </xdr:sp>
    <xdr:clientData/>
  </xdr:twoCellAnchor>
  <xdr:twoCellAnchor>
    <xdr:from>
      <xdr:col>15</xdr:col>
      <xdr:colOff>566057</xdr:colOff>
      <xdr:row>28</xdr:row>
      <xdr:rowOff>174173</xdr:rowOff>
    </xdr:from>
    <xdr:to>
      <xdr:col>19</xdr:col>
      <xdr:colOff>43543</xdr:colOff>
      <xdr:row>31</xdr:row>
      <xdr:rowOff>97973</xdr:rowOff>
    </xdr:to>
    <xdr:sp macro="" textlink="">
      <xdr:nvSpPr>
        <xdr:cNvPr id="10" name="TextBox 9">
          <a:extLst>
            <a:ext uri="{FF2B5EF4-FFF2-40B4-BE49-F238E27FC236}">
              <a16:creationId xmlns:a16="http://schemas.microsoft.com/office/drawing/2014/main" id="{E4299B63-5107-47E8-9E7C-98505749D1E8}"/>
            </a:ext>
          </a:extLst>
        </xdr:cNvPr>
        <xdr:cNvSpPr txBox="1"/>
      </xdr:nvSpPr>
      <xdr:spPr>
        <a:xfrm>
          <a:off x="9710057" y="5355773"/>
          <a:ext cx="1915886" cy="478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s-ES" sz="2000" b="1">
              <a:solidFill>
                <a:srgbClr val="7B337D"/>
              </a:solidFill>
              <a:latin typeface="Arial Unicode MS" panose="020B0604020202020204" pitchFamily="34" charset="-128"/>
              <a:ea typeface="Arial Unicode MS" panose="020B0604020202020204" pitchFamily="34" charset="-128"/>
              <a:cs typeface="Arial Unicode MS" panose="020B0604020202020204" pitchFamily="34" charset="-128"/>
            </a:rPr>
            <a:t>Category 3</a:t>
          </a:r>
        </a:p>
      </xdr:txBody>
    </xdr:sp>
    <xdr:clientData/>
  </xdr:twoCellAnchor>
  <xdr:twoCellAnchor>
    <xdr:from>
      <xdr:col>16</xdr:col>
      <xdr:colOff>32658</xdr:colOff>
      <xdr:row>20</xdr:row>
      <xdr:rowOff>174171</xdr:rowOff>
    </xdr:from>
    <xdr:to>
      <xdr:col>19</xdr:col>
      <xdr:colOff>119744</xdr:colOff>
      <xdr:row>24</xdr:row>
      <xdr:rowOff>76200</xdr:rowOff>
    </xdr:to>
    <xdr:sp macro="" textlink="">
      <xdr:nvSpPr>
        <xdr:cNvPr id="11" name="TextBox 10">
          <a:extLst>
            <a:ext uri="{FF2B5EF4-FFF2-40B4-BE49-F238E27FC236}">
              <a16:creationId xmlns:a16="http://schemas.microsoft.com/office/drawing/2014/main" id="{7F5355C1-253D-4D23-9544-9E2E8B91D48E}"/>
            </a:ext>
          </a:extLst>
        </xdr:cNvPr>
        <xdr:cNvSpPr txBox="1"/>
      </xdr:nvSpPr>
      <xdr:spPr>
        <a:xfrm>
          <a:off x="9786258" y="3875314"/>
          <a:ext cx="1915886" cy="642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2800" b="1">
              <a:solidFill>
                <a:srgbClr val="BD61BF"/>
              </a:solidFill>
              <a:latin typeface="Bodoni MT Black" panose="02070A03080606020203" pitchFamily="18" charset="0"/>
              <a:ea typeface="Arial Unicode MS" panose="020B0604020202020204" pitchFamily="34" charset="-128"/>
              <a:cs typeface="Arial Unicode MS" panose="020B0604020202020204" pitchFamily="34" charset="-128"/>
            </a:rPr>
            <a:t>70%</a:t>
          </a:r>
        </a:p>
      </xdr:txBody>
    </xdr:sp>
    <xdr:clientData/>
  </xdr:twoCellAnchor>
  <xdr:twoCellAnchor>
    <xdr:from>
      <xdr:col>16</xdr:col>
      <xdr:colOff>32658</xdr:colOff>
      <xdr:row>26</xdr:row>
      <xdr:rowOff>32656</xdr:rowOff>
    </xdr:from>
    <xdr:to>
      <xdr:col>19</xdr:col>
      <xdr:colOff>119744</xdr:colOff>
      <xdr:row>29</xdr:row>
      <xdr:rowOff>119742</xdr:rowOff>
    </xdr:to>
    <xdr:sp macro="" textlink="">
      <xdr:nvSpPr>
        <xdr:cNvPr id="12" name="TextBox 11">
          <a:extLst>
            <a:ext uri="{FF2B5EF4-FFF2-40B4-BE49-F238E27FC236}">
              <a16:creationId xmlns:a16="http://schemas.microsoft.com/office/drawing/2014/main" id="{D2AE8004-A041-4B1E-B9B4-26A934D51684}"/>
            </a:ext>
          </a:extLst>
        </xdr:cNvPr>
        <xdr:cNvSpPr txBox="1"/>
      </xdr:nvSpPr>
      <xdr:spPr>
        <a:xfrm>
          <a:off x="9786258" y="4844142"/>
          <a:ext cx="1915886" cy="642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2800" b="1">
              <a:solidFill>
                <a:srgbClr val="BD61BF"/>
              </a:solidFill>
              <a:latin typeface="Bodoni MT Black" panose="02070A03080606020203" pitchFamily="18" charset="0"/>
              <a:ea typeface="Arial Unicode MS" panose="020B0604020202020204" pitchFamily="34" charset="-128"/>
              <a:cs typeface="Arial Unicode MS" panose="020B0604020202020204" pitchFamily="34" charset="-128"/>
            </a:rPr>
            <a:t>53%</a:t>
          </a:r>
        </a:p>
      </xdr:txBody>
    </xdr:sp>
    <xdr:clientData/>
  </xdr:twoCellAnchor>
  <xdr:twoCellAnchor>
    <xdr:from>
      <xdr:col>16</xdr:col>
      <xdr:colOff>32658</xdr:colOff>
      <xdr:row>31</xdr:row>
      <xdr:rowOff>141514</xdr:rowOff>
    </xdr:from>
    <xdr:to>
      <xdr:col>19</xdr:col>
      <xdr:colOff>119744</xdr:colOff>
      <xdr:row>35</xdr:row>
      <xdr:rowOff>43542</xdr:rowOff>
    </xdr:to>
    <xdr:sp macro="" textlink="">
      <xdr:nvSpPr>
        <xdr:cNvPr id="13" name="TextBox 12">
          <a:extLst>
            <a:ext uri="{FF2B5EF4-FFF2-40B4-BE49-F238E27FC236}">
              <a16:creationId xmlns:a16="http://schemas.microsoft.com/office/drawing/2014/main" id="{D8A1ECF0-B6AF-4341-A4CC-66E2DBA53D79}"/>
            </a:ext>
          </a:extLst>
        </xdr:cNvPr>
        <xdr:cNvSpPr txBox="1"/>
      </xdr:nvSpPr>
      <xdr:spPr>
        <a:xfrm>
          <a:off x="9786258" y="5878285"/>
          <a:ext cx="1915886" cy="642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 sz="2800" b="1">
              <a:solidFill>
                <a:srgbClr val="BD61BF"/>
              </a:solidFill>
              <a:latin typeface="Bodoni MT Black" panose="02070A03080606020203" pitchFamily="18" charset="0"/>
              <a:ea typeface="Arial Unicode MS" panose="020B0604020202020204" pitchFamily="34" charset="-128"/>
              <a:cs typeface="Arial Unicode MS" panose="020B0604020202020204" pitchFamily="34" charset="-128"/>
            </a:rPr>
            <a:t>20%</a:t>
          </a:r>
        </a:p>
      </xdr:txBody>
    </xdr:sp>
    <xdr:clientData/>
  </xdr:twoCellAnchor>
  <xdr:twoCellAnchor>
    <xdr:from>
      <xdr:col>6</xdr:col>
      <xdr:colOff>446315</xdr:colOff>
      <xdr:row>6</xdr:row>
      <xdr:rowOff>26789</xdr:rowOff>
    </xdr:from>
    <xdr:to>
      <xdr:col>10</xdr:col>
      <xdr:colOff>49471</xdr:colOff>
      <xdr:row>8</xdr:row>
      <xdr:rowOff>152401</xdr:rowOff>
    </xdr:to>
    <xdr:sp macro="" textlink="">
      <xdr:nvSpPr>
        <xdr:cNvPr id="14" name="TextBox 13">
          <a:extLst>
            <a:ext uri="{FF2B5EF4-FFF2-40B4-BE49-F238E27FC236}">
              <a16:creationId xmlns:a16="http://schemas.microsoft.com/office/drawing/2014/main" id="{5CD294A2-E0BC-46A3-91BB-4DF986479DAC}"/>
            </a:ext>
          </a:extLst>
        </xdr:cNvPr>
        <xdr:cNvSpPr txBox="1"/>
      </xdr:nvSpPr>
      <xdr:spPr>
        <a:xfrm>
          <a:off x="4103915" y="1137132"/>
          <a:ext cx="2041556" cy="495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2000" b="1">
              <a:solidFill>
                <a:srgbClr val="F5D5E0"/>
              </a:solidFill>
              <a:latin typeface="Arial Unicode MS" panose="020B0604020202020204" pitchFamily="34" charset="-128"/>
              <a:ea typeface="Arial Unicode MS" panose="020B0604020202020204" pitchFamily="34" charset="-128"/>
              <a:cs typeface="Arial Unicode MS" panose="020B0604020202020204" pitchFamily="34" charset="-128"/>
            </a:rPr>
            <a:t>Main Metric</a:t>
          </a:r>
        </a:p>
      </xdr:txBody>
    </xdr:sp>
    <xdr:clientData/>
  </xdr:twoCellAnchor>
  <xdr:twoCellAnchor>
    <xdr:from>
      <xdr:col>6</xdr:col>
      <xdr:colOff>283028</xdr:colOff>
      <xdr:row>8</xdr:row>
      <xdr:rowOff>151707</xdr:rowOff>
    </xdr:from>
    <xdr:to>
      <xdr:col>10</xdr:col>
      <xdr:colOff>402771</xdr:colOff>
      <xdr:row>12</xdr:row>
      <xdr:rowOff>76201</xdr:rowOff>
    </xdr:to>
    <xdr:sp macro="" textlink="Sheet2!G6">
      <xdr:nvSpPr>
        <xdr:cNvPr id="15" name="TextBox 14">
          <a:extLst>
            <a:ext uri="{FF2B5EF4-FFF2-40B4-BE49-F238E27FC236}">
              <a16:creationId xmlns:a16="http://schemas.microsoft.com/office/drawing/2014/main" id="{6B910AA8-B89A-4E07-90D2-286EA0A960F6}"/>
            </a:ext>
          </a:extLst>
        </xdr:cNvPr>
        <xdr:cNvSpPr txBox="1"/>
      </xdr:nvSpPr>
      <xdr:spPr>
        <a:xfrm>
          <a:off x="3940628" y="1632164"/>
          <a:ext cx="2558143" cy="664723"/>
        </a:xfrm>
        <a:prstGeom prst="rect">
          <a:avLst/>
        </a:prstGeom>
        <a:noFill/>
        <a:ln w="9525" cmpd="sng">
          <a:noFill/>
        </a:ln>
        <a:effectLst>
          <a:glow rad="330200">
            <a:schemeClr val="bg1">
              <a:lumMod val="95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A8D51C-A3EF-4E1E-8116-61AF856CBE07}" type="TxLink">
            <a:rPr lang="en-US" sz="3600" b="0" i="0" u="none" strike="noStrike">
              <a:solidFill>
                <a:srgbClr val="F5D5E0"/>
              </a:solidFill>
              <a:effectLst>
                <a:glow rad="203200">
                  <a:schemeClr val="bg1">
                    <a:lumMod val="95000"/>
                    <a:alpha val="15000"/>
                  </a:schemeClr>
                </a:glow>
              </a:effectLst>
              <a:latin typeface="Bodoni MT Black" panose="02070A03080606020203" pitchFamily="18" charset="0"/>
              <a:ea typeface="Arial Unicode MS" panose="020B0604020202020204" pitchFamily="34" charset="-128"/>
              <a:cs typeface="Arial Unicode MS" panose="020B0604020202020204" pitchFamily="34" charset="-128"/>
            </a:rPr>
            <a:t>$ 82.4 K</a:t>
          </a:fld>
          <a:endParaRPr lang="es-ES" sz="3600" b="1">
            <a:solidFill>
              <a:srgbClr val="F5D5E0"/>
            </a:solidFill>
            <a:effectLst>
              <a:glow rad="203200">
                <a:schemeClr val="bg1">
                  <a:lumMod val="95000"/>
                  <a:alpha val="15000"/>
                </a:schemeClr>
              </a:glow>
            </a:effectLst>
            <a:latin typeface="Bodoni MT Black" panose="02070A03080606020203" pitchFamily="18" charset="0"/>
            <a:ea typeface="Arial Unicode MS" panose="020B0604020202020204" pitchFamily="34" charset="-128"/>
            <a:cs typeface="Arial Unicode MS" panose="020B0604020202020204" pitchFamily="34" charset="-128"/>
          </a:endParaRPr>
        </a:p>
      </xdr:txBody>
    </xdr:sp>
    <xdr:clientData/>
  </xdr:twoCellAnchor>
  <xdr:twoCellAnchor>
    <xdr:from>
      <xdr:col>11</xdr:col>
      <xdr:colOff>163286</xdr:colOff>
      <xdr:row>5</xdr:row>
      <xdr:rowOff>108857</xdr:rowOff>
    </xdr:from>
    <xdr:to>
      <xdr:col>14</xdr:col>
      <xdr:colOff>250372</xdr:colOff>
      <xdr:row>8</xdr:row>
      <xdr:rowOff>32657</xdr:rowOff>
    </xdr:to>
    <xdr:sp macro="" textlink="">
      <xdr:nvSpPr>
        <xdr:cNvPr id="16" name="TextBox 15">
          <a:extLst>
            <a:ext uri="{FF2B5EF4-FFF2-40B4-BE49-F238E27FC236}">
              <a16:creationId xmlns:a16="http://schemas.microsoft.com/office/drawing/2014/main" id="{979DDF42-9B73-43DB-A5BA-52D773659552}"/>
            </a:ext>
          </a:extLst>
        </xdr:cNvPr>
        <xdr:cNvSpPr txBox="1"/>
      </xdr:nvSpPr>
      <xdr:spPr>
        <a:xfrm>
          <a:off x="6868886" y="1034143"/>
          <a:ext cx="1915886" cy="478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2000" b="1">
              <a:solidFill>
                <a:srgbClr val="6768AB"/>
              </a:solidFill>
              <a:latin typeface="Arial Unicode MS" panose="020B0604020202020204" pitchFamily="34" charset="-128"/>
              <a:ea typeface="Arial Unicode MS" panose="020B0604020202020204" pitchFamily="34" charset="-128"/>
              <a:cs typeface="Arial Unicode MS" panose="020B0604020202020204" pitchFamily="34" charset="-128"/>
            </a:rPr>
            <a:t>Contextual info</a:t>
          </a:r>
        </a:p>
      </xdr:txBody>
    </xdr:sp>
    <xdr:clientData/>
  </xdr:twoCellAnchor>
  <xdr:twoCellAnchor>
    <xdr:from>
      <xdr:col>11</xdr:col>
      <xdr:colOff>163286</xdr:colOff>
      <xdr:row>8</xdr:row>
      <xdr:rowOff>65314</xdr:rowOff>
    </xdr:from>
    <xdr:to>
      <xdr:col>19</xdr:col>
      <xdr:colOff>163286</xdr:colOff>
      <xdr:row>16</xdr:row>
      <xdr:rowOff>130628</xdr:rowOff>
    </xdr:to>
    <xdr:sp macro="" textlink="">
      <xdr:nvSpPr>
        <xdr:cNvPr id="17" name="TextBox 16">
          <a:extLst>
            <a:ext uri="{FF2B5EF4-FFF2-40B4-BE49-F238E27FC236}">
              <a16:creationId xmlns:a16="http://schemas.microsoft.com/office/drawing/2014/main" id="{EFA15B70-9148-4AD7-8E70-8DD0FC51FA83}"/>
            </a:ext>
          </a:extLst>
        </xdr:cNvPr>
        <xdr:cNvSpPr txBox="1"/>
      </xdr:nvSpPr>
      <xdr:spPr>
        <a:xfrm>
          <a:off x="6868886" y="1545771"/>
          <a:ext cx="4876800" cy="1545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a:solidFill>
                <a:srgbClr val="6768AB"/>
              </a:solidFill>
            </a:rPr>
            <a:t>The development process started with structuring the underlying data to ensure accuracy. An interactive Power BI dashboard was then constructed to highlight critical business trends. Dynamic filters and clear visual metrics were integrated for seamless data exploration. </a:t>
          </a:r>
          <a:endParaRPr lang="es-ES" sz="1600" b="0">
            <a:solidFill>
              <a:srgbClr val="6768AB"/>
            </a:solidFill>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clientData/>
  </xdr:twoCellAnchor>
  <xdr:twoCellAnchor>
    <xdr:from>
      <xdr:col>6</xdr:col>
      <xdr:colOff>500743</xdr:colOff>
      <xdr:row>11</xdr:row>
      <xdr:rowOff>105719</xdr:rowOff>
    </xdr:from>
    <xdr:to>
      <xdr:col>10</xdr:col>
      <xdr:colOff>359092</xdr:colOff>
      <xdr:row>17</xdr:row>
      <xdr:rowOff>54429</xdr:rowOff>
    </xdr:to>
    <xdr:graphicFrame macro="">
      <xdr:nvGraphicFramePr>
        <xdr:cNvPr id="18" name="Chart 17">
          <a:extLst>
            <a:ext uri="{FF2B5EF4-FFF2-40B4-BE49-F238E27FC236}">
              <a16:creationId xmlns:a16="http://schemas.microsoft.com/office/drawing/2014/main" id="{4FDB7176-B0FB-4C7F-92AC-C17B77BCA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D7658-C4DD-4BB6-ADD2-5391CDFB485F}">
  <dimension ref="A1"/>
  <sheetViews>
    <sheetView tabSelected="1" zoomScale="70" zoomScaleNormal="70" workbookViewId="0">
      <selection activeCell="X16" sqref="X16"/>
    </sheetView>
  </sheetViews>
  <sheetFormatPr defaultRowHeight="14.4" x14ac:dyDescent="0.3"/>
  <cols>
    <col min="1" max="16384" width="8.88671875" style="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E9D0C-F4AC-42E0-AC4B-8345708E0189}">
  <dimension ref="B2:L26"/>
  <sheetViews>
    <sheetView workbookViewId="0">
      <selection activeCell="G7" sqref="G7"/>
    </sheetView>
  </sheetViews>
  <sheetFormatPr defaultRowHeight="14.4" x14ac:dyDescent="0.3"/>
  <sheetData>
    <row r="2" spans="2:12" x14ac:dyDescent="0.3">
      <c r="D2" t="s">
        <v>0</v>
      </c>
      <c r="E2" t="s">
        <v>1</v>
      </c>
    </row>
    <row r="3" spans="2:12" x14ac:dyDescent="0.3">
      <c r="B3" t="str">
        <f>_xlfn.TEXTJOIN(" ",TRUE,C3,D3)</f>
        <v>Jan 2024</v>
      </c>
      <c r="C3" t="s">
        <v>2</v>
      </c>
      <c r="D3">
        <v>2024</v>
      </c>
      <c r="E3" cm="1">
        <f t="array" aca="1" ref="E3:E26" ca="1">_xlfn.RANDARRAY(24,1,0,25000,TRUE)</f>
        <v>12817</v>
      </c>
    </row>
    <row r="4" spans="2:12" x14ac:dyDescent="0.3">
      <c r="B4" t="str">
        <f t="shared" ref="B4:B26" si="0">_xlfn.TEXTJOIN(" ",TRUE,C4,D4)</f>
        <v>Feb 2024</v>
      </c>
      <c r="C4" t="s">
        <v>3</v>
      </c>
      <c r="D4">
        <v>2024</v>
      </c>
      <c r="E4">
        <f ca="1"/>
        <v>23860</v>
      </c>
      <c r="G4">
        <v>82356</v>
      </c>
    </row>
    <row r="5" spans="2:12" x14ac:dyDescent="0.3">
      <c r="B5" t="str">
        <f t="shared" si="0"/>
        <v>Mar 2024</v>
      </c>
      <c r="C5" t="s">
        <v>4</v>
      </c>
      <c r="D5">
        <v>2024</v>
      </c>
      <c r="E5">
        <f ca="1"/>
        <v>13796</v>
      </c>
      <c r="G5" t="s">
        <v>17</v>
      </c>
      <c r="J5" t="s">
        <v>15</v>
      </c>
      <c r="K5" t="s">
        <v>16</v>
      </c>
    </row>
    <row r="6" spans="2:12" x14ac:dyDescent="0.3">
      <c r="B6" t="str">
        <f t="shared" si="0"/>
        <v>Abr 2024</v>
      </c>
      <c r="C6" t="s">
        <v>5</v>
      </c>
      <c r="D6">
        <v>2024</v>
      </c>
      <c r="E6">
        <f ca="1"/>
        <v>24065</v>
      </c>
      <c r="G6" t="str">
        <f xml:space="preserve"> "$ " &amp; TEXT(G4/1000,"0.0") &amp; " K"</f>
        <v>$ 82.4 K</v>
      </c>
      <c r="J6">
        <v>0.3</v>
      </c>
      <c r="K6">
        <f t="shared" ref="K6:K7" si="1">1-J6</f>
        <v>0.7</v>
      </c>
      <c r="L6">
        <v>1</v>
      </c>
    </row>
    <row r="7" spans="2:12" x14ac:dyDescent="0.3">
      <c r="B7" t="str">
        <f t="shared" si="0"/>
        <v>May 2024</v>
      </c>
      <c r="C7" t="s">
        <v>6</v>
      </c>
      <c r="D7">
        <v>2024</v>
      </c>
      <c r="E7">
        <f ca="1"/>
        <v>3012</v>
      </c>
      <c r="J7">
        <v>0.47</v>
      </c>
      <c r="K7">
        <f t="shared" si="1"/>
        <v>0.53</v>
      </c>
      <c r="L7">
        <v>1</v>
      </c>
    </row>
    <row r="8" spans="2:12" x14ac:dyDescent="0.3">
      <c r="B8" t="str">
        <f t="shared" si="0"/>
        <v>Jun 2024</v>
      </c>
      <c r="C8" t="s">
        <v>7</v>
      </c>
      <c r="D8">
        <v>2024</v>
      </c>
      <c r="E8">
        <f ca="1"/>
        <v>19515</v>
      </c>
      <c r="J8">
        <v>0.86</v>
      </c>
      <c r="K8">
        <f>1-J8</f>
        <v>0.14000000000000001</v>
      </c>
      <c r="L8">
        <v>1</v>
      </c>
    </row>
    <row r="9" spans="2:12" x14ac:dyDescent="0.3">
      <c r="B9" t="str">
        <f t="shared" si="0"/>
        <v>Jul 2024</v>
      </c>
      <c r="C9" t="s">
        <v>8</v>
      </c>
      <c r="D9">
        <v>2024</v>
      </c>
      <c r="E9">
        <f ca="1"/>
        <v>20597</v>
      </c>
    </row>
    <row r="10" spans="2:12" x14ac:dyDescent="0.3">
      <c r="B10" t="str">
        <f t="shared" si="0"/>
        <v>Ago 2024</v>
      </c>
      <c r="C10" t="s">
        <v>9</v>
      </c>
      <c r="D10">
        <v>2024</v>
      </c>
      <c r="E10">
        <f ca="1"/>
        <v>445</v>
      </c>
    </row>
    <row r="11" spans="2:12" x14ac:dyDescent="0.3">
      <c r="B11" t="str">
        <f t="shared" si="0"/>
        <v>Sep 2024</v>
      </c>
      <c r="C11" t="s">
        <v>10</v>
      </c>
      <c r="D11">
        <v>2024</v>
      </c>
      <c r="E11">
        <f ca="1"/>
        <v>19956</v>
      </c>
    </row>
    <row r="12" spans="2:12" x14ac:dyDescent="0.3">
      <c r="B12" t="str">
        <f t="shared" si="0"/>
        <v>Oct 2024</v>
      </c>
      <c r="C12" t="s">
        <v>11</v>
      </c>
      <c r="D12">
        <v>2024</v>
      </c>
      <c r="E12">
        <f ca="1"/>
        <v>22975</v>
      </c>
    </row>
    <row r="13" spans="2:12" x14ac:dyDescent="0.3">
      <c r="B13" t="str">
        <f t="shared" si="0"/>
        <v>Nov 2024</v>
      </c>
      <c r="C13" t="s">
        <v>12</v>
      </c>
      <c r="D13">
        <v>2024</v>
      </c>
      <c r="E13">
        <f ca="1"/>
        <v>16958</v>
      </c>
    </row>
    <row r="14" spans="2:12" x14ac:dyDescent="0.3">
      <c r="B14" t="str">
        <f t="shared" si="0"/>
        <v>Dic 2024</v>
      </c>
      <c r="C14" t="s">
        <v>13</v>
      </c>
      <c r="D14">
        <v>2024</v>
      </c>
      <c r="E14">
        <f ca="1"/>
        <v>3181</v>
      </c>
    </row>
    <row r="15" spans="2:12" x14ac:dyDescent="0.3">
      <c r="B15" t="str">
        <f t="shared" si="0"/>
        <v>Ene 2025</v>
      </c>
      <c r="C15" t="s">
        <v>14</v>
      </c>
      <c r="D15">
        <v>2025</v>
      </c>
      <c r="E15">
        <f ca="1"/>
        <v>3662</v>
      </c>
    </row>
    <row r="16" spans="2:12" x14ac:dyDescent="0.3">
      <c r="B16" t="str">
        <f t="shared" si="0"/>
        <v>Feb 2025</v>
      </c>
      <c r="C16" t="s">
        <v>3</v>
      </c>
      <c r="D16">
        <v>2025</v>
      </c>
      <c r="E16">
        <f ca="1"/>
        <v>2264</v>
      </c>
    </row>
    <row r="17" spans="2:5" x14ac:dyDescent="0.3">
      <c r="B17" t="str">
        <f t="shared" si="0"/>
        <v>Mar 2025</v>
      </c>
      <c r="C17" t="s">
        <v>4</v>
      </c>
      <c r="D17">
        <v>2025</v>
      </c>
      <c r="E17">
        <f ca="1"/>
        <v>20773</v>
      </c>
    </row>
    <row r="18" spans="2:5" x14ac:dyDescent="0.3">
      <c r="B18" t="str">
        <f t="shared" si="0"/>
        <v>Abr 2025</v>
      </c>
      <c r="C18" t="s">
        <v>5</v>
      </c>
      <c r="D18">
        <v>2025</v>
      </c>
      <c r="E18">
        <f ca="1"/>
        <v>6413</v>
      </c>
    </row>
    <row r="19" spans="2:5" x14ac:dyDescent="0.3">
      <c r="B19" t="str">
        <f t="shared" si="0"/>
        <v>May 2025</v>
      </c>
      <c r="C19" t="s">
        <v>6</v>
      </c>
      <c r="D19">
        <v>2025</v>
      </c>
      <c r="E19">
        <f ca="1"/>
        <v>276</v>
      </c>
    </row>
    <row r="20" spans="2:5" x14ac:dyDescent="0.3">
      <c r="B20" t="str">
        <f t="shared" si="0"/>
        <v>Jun 2025</v>
      </c>
      <c r="C20" t="s">
        <v>7</v>
      </c>
      <c r="D20">
        <v>2025</v>
      </c>
      <c r="E20">
        <f ca="1"/>
        <v>9826</v>
      </c>
    </row>
    <row r="21" spans="2:5" x14ac:dyDescent="0.3">
      <c r="B21" t="str">
        <f t="shared" si="0"/>
        <v>Jul 2025</v>
      </c>
      <c r="C21" t="s">
        <v>8</v>
      </c>
      <c r="D21">
        <v>2025</v>
      </c>
      <c r="E21">
        <f ca="1"/>
        <v>794</v>
      </c>
    </row>
    <row r="22" spans="2:5" x14ac:dyDescent="0.3">
      <c r="B22" t="str">
        <f t="shared" si="0"/>
        <v>Ago 2025</v>
      </c>
      <c r="C22" t="s">
        <v>9</v>
      </c>
      <c r="D22">
        <v>2025</v>
      </c>
      <c r="E22">
        <f ca="1"/>
        <v>14780</v>
      </c>
    </row>
    <row r="23" spans="2:5" x14ac:dyDescent="0.3">
      <c r="B23" t="str">
        <f t="shared" si="0"/>
        <v>Sep 2025</v>
      </c>
      <c r="C23" t="s">
        <v>10</v>
      </c>
      <c r="D23">
        <v>2025</v>
      </c>
      <c r="E23">
        <f ca="1"/>
        <v>5867</v>
      </c>
    </row>
    <row r="24" spans="2:5" x14ac:dyDescent="0.3">
      <c r="B24" t="str">
        <f t="shared" si="0"/>
        <v>Oct 2025</v>
      </c>
      <c r="C24" t="s">
        <v>11</v>
      </c>
      <c r="D24">
        <v>2025</v>
      </c>
      <c r="E24">
        <f ca="1"/>
        <v>20392</v>
      </c>
    </row>
    <row r="25" spans="2:5" x14ac:dyDescent="0.3">
      <c r="B25" t="str">
        <f t="shared" si="0"/>
        <v>Nov 2025</v>
      </c>
      <c r="C25" t="s">
        <v>12</v>
      </c>
      <c r="D25">
        <v>2025</v>
      </c>
      <c r="E25">
        <f ca="1"/>
        <v>16871</v>
      </c>
    </row>
    <row r="26" spans="2:5" x14ac:dyDescent="0.3">
      <c r="B26" t="str">
        <f t="shared" si="0"/>
        <v>Dic 2025</v>
      </c>
      <c r="C26" t="s">
        <v>13</v>
      </c>
      <c r="D26">
        <v>2025</v>
      </c>
      <c r="E26">
        <f ca="1"/>
        <v>3689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val</dc:creator>
  <cp:lastModifiedBy>marcos val</cp:lastModifiedBy>
  <dcterms:created xsi:type="dcterms:W3CDTF">2026-05-23T19:26:14Z</dcterms:created>
  <dcterms:modified xsi:type="dcterms:W3CDTF">2026-05-23T20:40:36Z</dcterms:modified>
</cp:coreProperties>
</file>